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I\doc_practicas\pactica4\"/>
    </mc:Choice>
  </mc:AlternateContent>
  <xr:revisionPtr revIDLastSave="0" documentId="13_ncr:1_{FFC27F57-9D95-4253-964E-57FCD05C28B7}" xr6:coauthVersionLast="47" xr6:coauthVersionMax="47" xr10:uidLastSave="{00000000-0000-0000-0000-000000000000}"/>
  <bookViews>
    <workbookView xWindow="-108" yWindow="-108" windowWidth="23256" windowHeight="12456" activeTab="5" xr2:uid="{3AF5FFE3-7E68-4AE9-9F1D-755774EFC8A9}"/>
  </bookViews>
  <sheets>
    <sheet name="Tabla_Desnormalizada_Ventas" sheetId="2" r:id="rId1"/>
    <sheet name="dim_product" sheetId="3" r:id="rId2"/>
    <sheet name="dim_customer" sheetId="4" r:id="rId3"/>
    <sheet name="dim_order_date" sheetId="5" r:id="rId4"/>
    <sheet name="dim_ship_date" sheetId="8" r:id="rId5"/>
    <sheet name="fact_sales" sheetId="6" r:id="rId6"/>
  </sheets>
  <definedNames>
    <definedName name="_xlcn.WorksheetConnection_Tabla_Desnormalizada_Ventas.xlsxdim_customer1" hidden="1">dim_customer[]</definedName>
    <definedName name="_xlcn.WorksheetConnection_Tabla_Desnormalizada_Ventas.xlsxdim_order_date1" hidden="1">dim_order_date[]</definedName>
    <definedName name="_xlcn.WorksheetConnection_Tabla_Desnormalizada_Ventas.xlsxdim_product1" hidden="1">dim_product[]</definedName>
    <definedName name="_xlcn.WorksheetConnection_Tabla_Desnormalizada_Ventas.xlsxdim_ship_date1" hidden="1">dim_ship_date[]</definedName>
    <definedName name="_xlcn.WorksheetConnection_Tabla_Desnormalizada_Ventas.xlsxfact_sales1" hidden="1">fact_sales[]</definedName>
    <definedName name="ExternalData_1" localSheetId="0" hidden="1">Tabla_Desnormalizada_Ventas!$A$1:$Z$101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duct" name="dim_product" connection="WorksheetConnection_Tabla_Desnormalizada_Ventas.xlsx!dim_product"/>
          <x15:modelTable id="dim_customer" name="dim_customer" connection="WorksheetConnection_Tabla_Desnormalizada_Ventas.xlsx!dim_customer"/>
          <x15:modelTable id="dim_order_date" name="dim_order_date" connection="WorksheetConnection_Tabla_Desnormalizada_Ventas.xlsx!dim_order_date"/>
          <x15:modelTable id="dim_ship_date" name="dim_ship_date" connection="WorksheetConnection_Tabla_Desnormalizada_Ventas.xlsx!dim_ship_date"/>
          <x15:modelTable id="fact_sales" name="fact_sales" connection="WorksheetConnection_Tabla_Desnormalizada_Ventas.xlsx!fact_sales"/>
        </x15:modelTables>
        <x15:modelRelationships>
          <x15:modelRelationship fromTable="fact_sales" fromColumn="ProductKey" toTable="dim_product" toColumn="ProductKey"/>
          <x15:modelRelationship fromTable="fact_sales" fromColumn="CustomerKey" toTable="dim_customer" toColumn="CustomerKey"/>
          <x15:modelRelationship fromTable="fact_sales" fromColumn="ShipDateKey" toTable="dim_ship_date" toColumn="ShipDateKey"/>
          <x15:modelRelationship fromTable="fact_sales" fromColumn="OrderDateKey" toTable="dim_order_date" toColumn="Order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6" l="1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4" i="6"/>
  <c r="A3" i="6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E2" i="8"/>
  <c r="D2" i="8"/>
  <c r="C2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E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7EECC-5D37-42AD-8A01-C8330CE31AEC}" keepAlive="1" name="Query - Tabla_Desnormalizada_Ventas" description="Connection to the 'Tabla_Desnormalizada_Ventas' query in the workbook." type="5" refreshedVersion="8" background="1" saveData="1">
    <dbPr connection="Provider=Microsoft.Mashup.OleDb.1;Data Source=$Workbook$;Location=Tabla_Desnormalizada_Ventas;Extended Properties=&quot;&quot;" command="SELECT * FROM [Tabla_Desnormalizada_Ventas]"/>
  </connection>
  <connection id="2" xr16:uid="{040187E5-4E63-4EEA-AA91-BD289B5DE3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03B194C-81A0-48AE-AE8E-1C11A989C7E9}" name="WorksheetConnection_Tabla_Desnormalizada_Ventas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Tabla_Desnormalizada_Ventas.xlsxdim_customer1"/>
        </x15:connection>
      </ext>
    </extLst>
  </connection>
  <connection id="4" xr16:uid="{68B4A3CE-5583-47E1-8C85-E5EA66B05D20}" name="WorksheetConnection_Tabla_Desnormalizada_Ventas.xlsx!dim_order_date" type="102" refreshedVersion="8" minRefreshableVersion="5">
    <extLst>
      <ext xmlns:x15="http://schemas.microsoft.com/office/spreadsheetml/2010/11/main" uri="{DE250136-89BD-433C-8126-D09CA5730AF9}">
        <x15:connection id="dim_order_date">
          <x15:rangePr sourceName="_xlcn.WorksheetConnection_Tabla_Desnormalizada_Ventas.xlsxdim_order_date1"/>
        </x15:connection>
      </ext>
    </extLst>
  </connection>
  <connection id="5" xr16:uid="{2DFE6D95-44B0-4C76-8178-AF0731067023}" name="WorksheetConnection_Tabla_Desnormalizada_Ventas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Tabla_Desnormalizada_Ventas.xlsxdim_product1"/>
        </x15:connection>
      </ext>
    </extLst>
  </connection>
  <connection id="6" xr16:uid="{4B2D0F56-DF2D-4599-A8A0-E4D6A2CC1B53}" name="WorksheetConnection_Tabla_Desnormalizada_Ventas.xlsx!dim_ship_date" type="102" refreshedVersion="8" minRefreshableVersion="5">
    <extLst>
      <ext xmlns:x15="http://schemas.microsoft.com/office/spreadsheetml/2010/11/main" uri="{DE250136-89BD-433C-8126-D09CA5730AF9}">
        <x15:connection id="dim_ship_date">
          <x15:rangePr sourceName="_xlcn.WorksheetConnection_Tabla_Desnormalizada_Ventas.xlsxdim_ship_date1"/>
        </x15:connection>
      </ext>
    </extLst>
  </connection>
  <connection id="7" xr16:uid="{7B888958-13B8-4BFA-AAB2-FCEE3FA62251}" name="WorksheetConnection_Tabla_Desnormalizada_Ventas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Tabla_Desnormalizada_Ventas.xlsxfact_sales1"/>
        </x15:connection>
      </ext>
    </extLst>
  </connection>
</connections>
</file>

<file path=xl/sharedStrings.xml><?xml version="1.0" encoding="utf-8"?>
<sst xmlns="http://schemas.openxmlformats.org/spreadsheetml/2006/main" count="1247" uniqueCount="170">
  <si>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</si>
  <si>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</si>
  <si>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</si>
  <si>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</si>
  <si>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</si>
  <si>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</si>
  <si>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</si>
  <si>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</si>
  <si>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</si>
  <si>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</si>
  <si>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</si>
  <si>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</si>
  <si>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</si>
  <si>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</si>
  <si>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</si>
  <si>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</si>
  <si>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</si>
  <si>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</si>
  <si>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</si>
  <si>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</si>
  <si>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</si>
  <si>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</si>
  <si>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</si>
  <si>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</si>
  <si>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</si>
  <si>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</si>
  <si>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</si>
  <si>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Product 5</t>
  </si>
  <si>
    <t>Red</t>
  </si>
  <si>
    <t>Small</t>
  </si>
  <si>
    <t>Accessories</t>
  </si>
  <si>
    <t>Mice</t>
  </si>
  <si>
    <t>Single</t>
  </si>
  <si>
    <t>M</t>
  </si>
  <si>
    <t>No</t>
  </si>
  <si>
    <t>ORD0001</t>
  </si>
  <si>
    <t>P143</t>
  </si>
  <si>
    <t>Product 44</t>
  </si>
  <si>
    <t>Black</t>
  </si>
  <si>
    <t>Large</t>
  </si>
  <si>
    <t>Cameras</t>
  </si>
  <si>
    <t>ORD0002</t>
  </si>
  <si>
    <t>P111</t>
  </si>
  <si>
    <t>Product 12</t>
  </si>
  <si>
    <t>White</t>
  </si>
  <si>
    <t>Medium</t>
  </si>
  <si>
    <t>Electronics</t>
  </si>
  <si>
    <t>Monitors</t>
  </si>
  <si>
    <t>Married</t>
  </si>
  <si>
    <t>F</t>
  </si>
  <si>
    <t>ORD0003</t>
  </si>
  <si>
    <t>P118</t>
  </si>
  <si>
    <t>Product 19</t>
  </si>
  <si>
    <t>Gray</t>
  </si>
  <si>
    <t>Tablets</t>
  </si>
  <si>
    <t>Yes</t>
  </si>
  <si>
    <t>ORD0004</t>
  </si>
  <si>
    <t>P120</t>
  </si>
  <si>
    <t>Product 21</t>
  </si>
  <si>
    <t>ORD0005</t>
  </si>
  <si>
    <t>P113</t>
  </si>
  <si>
    <t>Product 14</t>
  </si>
  <si>
    <t>ORD0006</t>
  </si>
  <si>
    <t>ORD0007</t>
  </si>
  <si>
    <t>ORD0008</t>
  </si>
  <si>
    <t>ORD0009</t>
  </si>
  <si>
    <t>P140</t>
  </si>
  <si>
    <t>Product 41</t>
  </si>
  <si>
    <t>Keyboards</t>
  </si>
  <si>
    <t>ORD0010</t>
  </si>
  <si>
    <t>ORD0011</t>
  </si>
  <si>
    <t>P127</t>
  </si>
  <si>
    <t>Product 28</t>
  </si>
  <si>
    <t>Computers</t>
  </si>
  <si>
    <t>ORD0012</t>
  </si>
  <si>
    <t>ORD0013</t>
  </si>
  <si>
    <t>ORD0014</t>
  </si>
  <si>
    <t>ORD0015</t>
  </si>
  <si>
    <t>ORD0016</t>
  </si>
  <si>
    <t>ORD0017</t>
  </si>
  <si>
    <t>P117</t>
  </si>
  <si>
    <t>Product 18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</si>
  <si>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</si>
  <si>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</si>
  <si>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</si>
  <si>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</si>
  <si>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</si>
  <si>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</si>
  <si>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</si>
  <si>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</si>
  <si>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</si>
  <si>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</si>
  <si>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</si>
  <si>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</si>
  <si>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</si>
  <si>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</si>
  <si>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</si>
  <si>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</si>
  <si>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</si>
  <si>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</si>
  <si>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</si>
  <si>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</si>
  <si>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</si>
  <si>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</si>
  <si>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</si>
  <si>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</si>
  <si>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</si>
  <si>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</si>
  <si>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</si>
  <si>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</si>
  <si>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</si>
  <si>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</si>
  <si>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</si>
  <si>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</si>
  <si>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</si>
  <si>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</si>
  <si>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</si>
  <si>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</si>
  <si>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</si>
  <si>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</si>
  <si>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</si>
  <si>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</si>
  <si>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</si>
  <si>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</si>
  <si>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</si>
  <si>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</si>
  <si>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</si>
  <si>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</si>
  <si>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</si>
  <si>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</si>
  <si>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</si>
  <si>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</si>
  <si>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</si>
  <si>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</si>
  <si>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</si>
  <si>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</si>
  <si>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</si>
  <si>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</si>
  <si>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</si>
  <si>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</si>
  <si>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</si>
  <si>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</si>
  <si>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</si>
  <si>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</si>
  <si>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</si>
  <si>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</si>
  <si>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</si>
  <si>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</si>
  <si>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</si>
  <si>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</si>
  <si>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</si>
  <si>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</si>
  <si>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</si>
  <si>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</si>
  <si>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</si>
  <si>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</si>
  <si>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</si>
  <si>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</si>
  <si>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</si>
  <si>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</si>
  <si>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</si>
  <si>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</si>
  <si>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</si>
  <si>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</si>
  <si>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</si>
  <si>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year</t>
  </si>
  <si>
    <t>month</t>
  </si>
  <si>
    <t>monthName</t>
  </si>
  <si>
    <t>date</t>
  </si>
  <si>
    <t>id_sales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</si>
</sst>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6"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EB78FE-58D8-48AA-8C6E-D4FFFCFCC5FC}" autoFormatId="16" applyNumberFormats="0" applyBorderFormats="0" applyFontFormats="0" applyPatternFormats="0" applyAlignmentFormats="0" applyWidthHeightFormats="0">
  <queryTableRefresh nextId="27">
    <queryTableFields count="26">
      <queryTableField id="1" name="ProductKey" tableColumnId="1"/>
      <queryTableField id="2" name="Product Code" tableColumnId="2"/>
      <queryTableField id="3" name="Product Name" tableColumnId="3"/>
      <queryTableField id="4" name="List Price" tableColumnId="4"/>
      <queryTableField id="5" name="Color" tableColumnId="5"/>
      <queryTableField id="6" name="Size" tableColumnId="6"/>
      <queryTableField id="7" name="Category" tableColumnId="7"/>
      <queryTableField id="8" name="Subcategory" tableColumnId="8"/>
      <queryTableField id="9" name="CustomerKey" tableColumnId="9"/>
      <queryTableField id="10" name="Birth Date" tableColumnId="10"/>
      <queryTableField id="11" name="Marital Status" tableColumnId="11"/>
      <queryTableField id="12" name="Gender" tableColumnId="12"/>
      <queryTableField id="13" name="Income" tableColumnId="13"/>
      <queryTableField id="14" name="Children" tableColumnId="14"/>
      <queryTableField id="15" name="Home Owner" tableColumnId="15"/>
      <queryTableField id="16" name="Cars" tableColumnId="16"/>
      <queryTableField id="17" name="OrderDateKey" tableColumnId="17"/>
      <queryTableField id="18" name="Order Date" tableColumnId="18"/>
      <queryTableField id="19" name="ShipDateKey" tableColumnId="19"/>
      <queryTableField id="20" name="Ship Date" tableColumnId="20"/>
      <queryTableField id="21" name="OrderNumber" tableColumnId="21"/>
      <queryTableField id="22" name="OrderLineNumber" tableColumnId="22"/>
      <queryTableField id="23" name="Quantity" tableColumnId="23"/>
      <queryTableField id="24" name="UnitPrice" tableColumnId="24"/>
      <queryTableField id="25" name="ProductCost" tableColumnId="25"/>
      <queryTableField id="26" name="SalesAmount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B181D-7F7A-4783-984E-63491E4431B4}" name="Tabla_Desnormalizada_Ventas" displayName="Tabla_Desnormalizada_Ventas" ref="A1:Z101" tableType="queryTable" totalsRowShown="0">
  <autoFilter ref="A1:Z101" xr:uid="{8A0B181D-7F7A-4783-984E-63491E4431B4}"/>
  <sortState xmlns:xlrd2="http://schemas.microsoft.com/office/spreadsheetml/2017/richdata2" ref="A2:Z101">
    <sortCondition ref="A1:A101"/>
  </sortState>
  <tableColumns count="26">
    <tableColumn id="1" xr3:uid="{9AA7D225-7FC7-4871-AE83-81AA8FBD05F5}" uniqueName="1" name="ProductKey" queryTableFieldId="1"/>
    <tableColumn id="2" xr3:uid="{2CE6CDC3-14A9-4282-8A6B-AAB630C2940E}" uniqueName="2" name="Product Code" queryTableFieldId="2" dataDxfId="15"/>
    <tableColumn id="3" xr3:uid="{3F2423BA-DBD6-417B-AA3F-DF09F6647D8E}" uniqueName="3" name="Product Name" queryTableFieldId="3" dataDxfId="14"/>
    <tableColumn id="4" xr3:uid="{14E926FA-183E-4A77-94F1-B3F9FB9720BF}" uniqueName="4" name="List Price" queryTableFieldId="4"/>
    <tableColumn id="5" xr3:uid="{498FA9FF-D776-4F00-86C8-F703CDE0C345}" uniqueName="5" name="Color" queryTableFieldId="5" dataDxfId="13"/>
    <tableColumn id="6" xr3:uid="{22C167B2-4D0E-4F84-B61A-B569F231B61B}" uniqueName="6" name="Size" queryTableFieldId="6" dataDxfId="12"/>
    <tableColumn id="7" xr3:uid="{A5008D84-C64A-4D79-B982-B425D0D26F94}" uniqueName="7" name="Category" queryTableFieldId="7" dataDxfId="11"/>
    <tableColumn id="8" xr3:uid="{2B1C49C5-5FAF-46D9-948E-D666507B88C6}" uniqueName="8" name="Subcategory" queryTableFieldId="8" dataDxfId="10"/>
    <tableColumn id="9" xr3:uid="{ECBA4ED2-53E6-45B3-B36E-B93D045BFF4F}" uniqueName="9" name="CustomerKey" queryTableFieldId="9"/>
    <tableColumn id="10" xr3:uid="{C3232D07-19DE-4D60-B2F1-81D07B21DC1A}" uniqueName="10" name="Birth Date" queryTableFieldId="10" dataDxfId="9"/>
    <tableColumn id="11" xr3:uid="{E6A672F4-38A0-4354-81B2-C823DF218F0C}" uniqueName="11" name="Marital Status" queryTableFieldId="11" dataDxfId="8"/>
    <tableColumn id="12" xr3:uid="{6EBFA718-EDD8-468F-A18A-2CE5C6D39A68}" uniqueName="12" name="Gender" queryTableFieldId="12" dataDxfId="7"/>
    <tableColumn id="13" xr3:uid="{8479C815-7CF3-4A93-BF75-29F6C6FF6BE6}" uniqueName="13" name="Income" queryTableFieldId="13"/>
    <tableColumn id="14" xr3:uid="{DD84EF7E-9C42-4B3C-889A-6200E053DD92}" uniqueName="14" name="Children" queryTableFieldId="14"/>
    <tableColumn id="15" xr3:uid="{BB4DC6BD-5622-4BEB-97EC-4FBC4BCAF59E}" uniqueName="15" name="Home Owner" queryTableFieldId="15" dataDxfId="6"/>
    <tableColumn id="16" xr3:uid="{361AA61C-A094-40B6-8756-C96CCE7C9781}" uniqueName="16" name="Cars" queryTableFieldId="16"/>
    <tableColumn id="17" xr3:uid="{C2888B4A-E62B-46B3-A2C8-60B0B50F2E1D}" uniqueName="17" name="OrderDateKey" queryTableFieldId="17"/>
    <tableColumn id="18" xr3:uid="{DA7BF788-B70B-403B-A3F3-0ACA9D2A8C85}" uniqueName="18" name="Order Date" queryTableFieldId="18" dataDxfId="5"/>
    <tableColumn id="19" xr3:uid="{110670A4-9708-49B2-A85E-C9411247DA87}" uniqueName="19" name="ShipDateKey" queryTableFieldId="19"/>
    <tableColumn id="20" xr3:uid="{6F8BAD16-4569-40B4-9D0F-9C96842E8DDB}" uniqueName="20" name="Ship Date" queryTableFieldId="20" dataDxfId="4"/>
    <tableColumn id="21" xr3:uid="{C4CFBC61-8140-49E2-AA2A-FBE9307260C3}" uniqueName="21" name="OrderNumber" queryTableFieldId="21" dataDxfId="3"/>
    <tableColumn id="22" xr3:uid="{4B70109B-B7BA-430F-B964-7AEAEF4405ED}" uniqueName="22" name="OrderLineNumber" queryTableFieldId="22"/>
    <tableColumn id="23" xr3:uid="{99F4AADA-C682-47F6-829A-174726CB01DE}" uniqueName="23" name="Quantity" queryTableFieldId="23"/>
    <tableColumn id="24" xr3:uid="{5CA61690-01BC-42EA-A147-624036D1547F}" uniqueName="24" name="UnitPrice" queryTableFieldId="24"/>
    <tableColumn id="25" xr3:uid="{DD7C7296-ED62-4EAD-BF95-2202A176641D}" uniqueName="25" name="ProductCost" queryTableFieldId="25"/>
    <tableColumn id="26" xr3:uid="{758D0D85-C218-41DC-9BE7-58A77626084A}" uniqueName="26" name="SalesAmount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55A19-05F1-46D7-B7C6-61CE4BCB8170}" name="dim_product" displayName="dim_product" ref="A1:H10" totalsRowShown="0">
  <autoFilter ref="A1:H10" xr:uid="{55455A19-05F1-46D7-B7C6-61CE4BCB8170}"/>
  <tableColumns count="8">
    <tableColumn id="1" xr3:uid="{F7826A7D-EFED-4DF3-A66D-6B93267EB53C}" name="ProductKey"/>
    <tableColumn id="2" xr3:uid="{180F3879-EAD8-4EC8-BD2B-56EA36E9ACAB}" name="Product Code"/>
    <tableColumn id="3" xr3:uid="{F04C8854-E092-40FC-8AD4-B55AA6524571}" name="Product Name"/>
    <tableColumn id="4" xr3:uid="{A941F9C7-FF0B-44E6-96A3-A3FF74E039BE}" name="List Price"/>
    <tableColumn id="5" xr3:uid="{6AC09105-C3E8-4F76-BC48-7D3CE4C80DA7}" name="Color"/>
    <tableColumn id="6" xr3:uid="{1A37F791-C8A1-4D14-AB3A-5331E092DCDA}" name="Size"/>
    <tableColumn id="7" xr3:uid="{07585E25-235B-41C3-BE47-9BBFFF4D2837}" name="Category"/>
    <tableColumn id="8" xr3:uid="{16D6CDE1-E4A5-49CB-9339-99D998CD0AA7}" name="Sub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554C64-1492-4A38-A965-E1A68DC5AA9E}" name="dim_customer" displayName="dim_customer" ref="A1:H11" totalsRowShown="0">
  <autoFilter ref="A1:H11" xr:uid="{E2554C64-1492-4A38-A965-E1A68DC5AA9E}"/>
  <tableColumns count="8">
    <tableColumn id="1" xr3:uid="{15A6589D-C8D1-4804-A4F1-F9FC156179CF}" name="CustomerKey"/>
    <tableColumn id="2" xr3:uid="{302E35A8-2940-42A1-8F08-B2F311FF903B}" name="Birth Date" dataDxfId="2"/>
    <tableColumn id="3" xr3:uid="{51E6083F-8A0C-4131-A83B-0D75C77AC40E}" name="Marital Status"/>
    <tableColumn id="4" xr3:uid="{619FF805-7E07-480F-BD62-6545AA1B6C4E}" name="Gender"/>
    <tableColumn id="5" xr3:uid="{35F66CCC-9393-43BD-A8E7-C34CA037CAA0}" name="Income"/>
    <tableColumn id="6" xr3:uid="{D2436251-31CF-4948-8346-55ADCAA5ABE4}" name="Children"/>
    <tableColumn id="7" xr3:uid="{B6E32EB6-2409-4284-AF4A-B36EAFF87C71}" name="Home Owner"/>
    <tableColumn id="8" xr3:uid="{4FCF3920-E248-44F2-9F5E-E5860AF594F0}" name="C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8FE9EF-4FEA-4B08-BCE4-F782892E5A5E}" name="dim_order_date" displayName="dim_order_date" ref="A1:E62" totalsRowShown="0">
  <autoFilter ref="A1:E62" xr:uid="{E78FE9EF-4FEA-4B08-BCE4-F782892E5A5E}"/>
  <tableColumns count="5">
    <tableColumn id="1" xr3:uid="{C707140B-2187-4DC7-90C2-13644E46582B}" name="OrderDateKey"/>
    <tableColumn id="2" xr3:uid="{2A526E29-7CD3-45D2-939C-1CF48ACBF991}" name="date" dataDxfId="1"/>
    <tableColumn id="3" xr3:uid="{F3796028-0111-458C-97CB-50C16769576E}" name="year">
      <calculatedColumnFormula>YEAR(B2)</calculatedColumnFormula>
    </tableColumn>
    <tableColumn id="4" xr3:uid="{3EF64D22-73F4-4139-BD8C-B01D2607780C}" name="month">
      <calculatedColumnFormula>MONTH(B2)</calculatedColumnFormula>
    </tableColumn>
    <tableColumn id="5" xr3:uid="{351D0737-B44F-4E98-B3F9-DAB9217D466B}" name="monthName">
      <calculatedColumnFormula>TEXT(B2,"MMMM")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04D521-F960-4E14-BC25-D9C5A028EFE6}" name="dim_ship_date" displayName="dim_ship_date" ref="A1:E87" totalsRowShown="0">
  <autoFilter ref="A1:E87" xr:uid="{A104D521-F960-4E14-BC25-D9C5A028EFE6}"/>
  <tableColumns count="5">
    <tableColumn id="1" xr3:uid="{56463D4F-AB40-4C0D-A232-B1215506ECF9}" name="ShipDateKey"/>
    <tableColumn id="2" xr3:uid="{CEF3B052-BC35-4C7E-A9B6-DE8FF0CFDF53}" name="date" dataDxfId="0"/>
    <tableColumn id="3" xr3:uid="{0DD1FD16-01A3-445D-BAE6-5F457A7E2D14}" name="year">
      <calculatedColumnFormula>YEAR(B2)</calculatedColumnFormula>
    </tableColumn>
    <tableColumn id="4" xr3:uid="{70668F85-A2F7-4EA4-869A-4235F2B945AE}" name="month">
      <calculatedColumnFormula>MONTH(B2)</calculatedColumnFormula>
    </tableColumn>
    <tableColumn id="5" xr3:uid="{D5EFC164-3F67-4A5F-AAB7-DF831EC4FC75}" name="monthName">
      <calculatedColumnFormula>TEXT(B2,"MMMM")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95E243-8BC2-4656-A72E-BFD3E5FF3CB8}" name="fact_sales" displayName="fact_sales" ref="A1:K101" totalsRowShown="0">
  <autoFilter ref="A1:K101" xr:uid="{4695E243-8BC2-4656-A72E-BFD3E5FF3CB8}"/>
  <tableColumns count="11">
    <tableColumn id="1" xr3:uid="{95038016-9CC0-4AE0-9F7A-9C4289230EC9}" name="id_sales"/>
    <tableColumn id="2" xr3:uid="{47AB1D86-4B9C-4961-8653-2537A36FC97D}" name="OrderNumber"/>
    <tableColumn id="3" xr3:uid="{8755BD21-1761-41F2-9FFB-61DB499465C0}" name="OrderLineNumber"/>
    <tableColumn id="4" xr3:uid="{DC193279-EC6E-4494-8470-BB5393C9360E}" name="Quantity"/>
    <tableColumn id="5" xr3:uid="{6D01B0A6-C9A4-41E5-B989-C935B6C37089}" name="UnitPrice"/>
    <tableColumn id="6" xr3:uid="{4EC9FCAE-480F-4874-9701-D5B384B9F0B0}" name="ProductCost"/>
    <tableColumn id="7" xr3:uid="{3ABD83A4-103B-4C15-A7FD-1F51CABA8688}" name="SalesAmount"/>
    <tableColumn id="8" xr3:uid="{7534ADD3-F6D8-4D1E-B1E9-2F1C699F8B17}" name="ProductKey"/>
    <tableColumn id="9" xr3:uid="{74D2D4DE-E241-443C-9F7C-5D188DF8DE7C}" name="CustomerKey"/>
    <tableColumn id="10" xr3:uid="{E8B66492-AB98-4FDD-B044-689AD5F3F6E5}" name="ShipDateKey"/>
    <tableColumn id="11" xr3:uid="{3B9209DF-5A56-4E6B-AED1-180AAEAAE69F}" name="OrderDate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CF16-0428-4C13-95C6-D2309A3421B3}">
  <dimension ref="A1:Z101"/>
  <sheetViews>
    <sheetView topLeftCell="K1" workbookViewId="0">
      <selection activeCell="P65" sqref="P65"/>
    </sheetView>
  </sheetViews>
  <sheetFormatPr defaultRowHeight="14.4" x14ac:dyDescent="0.3"/>
  <cols>
    <col min="1" max="1" width="12.77734375" bestFit="1" customWidth="1"/>
    <col min="2" max="2" width="14.44140625" bestFit="1" customWidth="1"/>
    <col min="3" max="3" width="15.109375" bestFit="1" customWidth="1"/>
    <col min="4" max="4" width="10.88671875" bestFit="1" customWidth="1"/>
    <col min="5" max="5" width="7.6640625" bestFit="1" customWidth="1"/>
    <col min="6" max="6" width="7.44140625" bestFit="1" customWidth="1"/>
    <col min="7" max="7" width="10.88671875" bestFit="1" customWidth="1"/>
    <col min="8" max="8" width="13.5546875" bestFit="1" customWidth="1"/>
    <col min="9" max="9" width="14.33203125" bestFit="1" customWidth="1"/>
    <col min="10" max="10" width="11.44140625" bestFit="1" customWidth="1"/>
    <col min="11" max="11" width="14.77734375" bestFit="1" customWidth="1"/>
    <col min="12" max="12" width="9.33203125" bestFit="1" customWidth="1"/>
    <col min="13" max="13" width="9.44140625" bestFit="1" customWidth="1"/>
    <col min="14" max="14" width="10.33203125" bestFit="1" customWidth="1"/>
    <col min="15" max="15" width="13.88671875" bestFit="1" customWidth="1"/>
    <col min="16" max="16" width="7" bestFit="1" customWidth="1"/>
    <col min="17" max="17" width="14.88671875" bestFit="1" customWidth="1"/>
    <col min="18" max="18" width="12.21875" bestFit="1" customWidth="1"/>
    <col min="19" max="19" width="13.88671875" bestFit="1" customWidth="1"/>
    <col min="20" max="20" width="11.21875" bestFit="1" customWidth="1"/>
    <col min="21" max="21" width="14.77734375" bestFit="1" customWidth="1"/>
    <col min="22" max="22" width="18.33203125" bestFit="1" customWidth="1"/>
    <col min="23" max="23" width="10.33203125" bestFit="1" customWidth="1"/>
    <col min="24" max="24" width="11" bestFit="1" customWidth="1"/>
    <col min="25" max="25" width="13.5546875" bestFit="1" customWidth="1"/>
    <col min="26" max="26" width="14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105</v>
      </c>
      <c r="B2" t="s">
        <v>26</v>
      </c>
      <c r="C2" t="s">
        <v>27</v>
      </c>
      <c r="D2">
        <v>165</v>
      </c>
      <c r="E2" t="s">
        <v>28</v>
      </c>
      <c r="F2" t="s">
        <v>29</v>
      </c>
      <c r="G2" t="s">
        <v>30</v>
      </c>
      <c r="H2" t="s">
        <v>31</v>
      </c>
      <c r="I2">
        <v>1010</v>
      </c>
      <c r="J2" s="1">
        <v>25937</v>
      </c>
      <c r="K2" t="s">
        <v>32</v>
      </c>
      <c r="L2" t="s">
        <v>33</v>
      </c>
      <c r="M2">
        <v>68571</v>
      </c>
      <c r="N2">
        <v>0</v>
      </c>
      <c r="O2" t="s">
        <v>34</v>
      </c>
      <c r="P2">
        <v>1</v>
      </c>
      <c r="Q2">
        <v>20220131</v>
      </c>
      <c r="R2" s="1">
        <v>44592</v>
      </c>
      <c r="S2">
        <v>20220203</v>
      </c>
      <c r="T2" s="1">
        <v>44595</v>
      </c>
      <c r="U2" t="s">
        <v>35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3">
      <c r="A3">
        <v>105</v>
      </c>
      <c r="B3" t="s">
        <v>26</v>
      </c>
      <c r="C3" t="s">
        <v>27</v>
      </c>
      <c r="D3">
        <v>165</v>
      </c>
      <c r="E3" t="s">
        <v>28</v>
      </c>
      <c r="F3" t="s">
        <v>29</v>
      </c>
      <c r="G3" t="s">
        <v>30</v>
      </c>
      <c r="H3" t="s">
        <v>31</v>
      </c>
      <c r="I3">
        <v>1014</v>
      </c>
      <c r="J3" s="1">
        <v>29531</v>
      </c>
      <c r="K3" t="s">
        <v>48</v>
      </c>
      <c r="L3" t="s">
        <v>49</v>
      </c>
      <c r="M3">
        <v>38460</v>
      </c>
      <c r="N3">
        <v>0</v>
      </c>
      <c r="O3" t="s">
        <v>34</v>
      </c>
      <c r="P3">
        <v>0</v>
      </c>
      <c r="Q3">
        <v>20250629</v>
      </c>
      <c r="R3" s="1">
        <v>45837</v>
      </c>
      <c r="S3">
        <v>20250630</v>
      </c>
      <c r="T3" s="1">
        <v>45838</v>
      </c>
      <c r="U3" t="s">
        <v>120</v>
      </c>
      <c r="V3">
        <v>1</v>
      </c>
      <c r="W3">
        <v>5</v>
      </c>
      <c r="X3">
        <v>165</v>
      </c>
      <c r="Y3">
        <v>155</v>
      </c>
      <c r="Z3">
        <v>825</v>
      </c>
    </row>
    <row r="4" spans="1:26" x14ac:dyDescent="0.3">
      <c r="A4">
        <v>105</v>
      </c>
      <c r="B4" t="s">
        <v>26</v>
      </c>
      <c r="C4" t="s">
        <v>27</v>
      </c>
      <c r="D4">
        <v>165</v>
      </c>
      <c r="E4" t="s">
        <v>28</v>
      </c>
      <c r="F4" t="s">
        <v>29</v>
      </c>
      <c r="G4" t="s">
        <v>30</v>
      </c>
      <c r="H4" t="s">
        <v>31</v>
      </c>
      <c r="I4">
        <v>1002</v>
      </c>
      <c r="J4" s="1">
        <v>32675</v>
      </c>
      <c r="K4" t="s">
        <v>48</v>
      </c>
      <c r="L4" t="s">
        <v>49</v>
      </c>
      <c r="M4">
        <v>64715</v>
      </c>
      <c r="N4">
        <v>1</v>
      </c>
      <c r="O4" t="s">
        <v>55</v>
      </c>
      <c r="P4">
        <v>1</v>
      </c>
      <c r="Q4">
        <v>20250130</v>
      </c>
      <c r="R4" s="1">
        <v>45687</v>
      </c>
      <c r="S4">
        <v>20250131</v>
      </c>
      <c r="T4" s="1">
        <v>45688</v>
      </c>
      <c r="U4" t="s">
        <v>123</v>
      </c>
      <c r="V4">
        <v>1</v>
      </c>
      <c r="W4">
        <v>5</v>
      </c>
      <c r="X4">
        <v>165</v>
      </c>
      <c r="Y4">
        <v>160</v>
      </c>
      <c r="Z4">
        <v>825</v>
      </c>
    </row>
    <row r="5" spans="1:26" x14ac:dyDescent="0.3">
      <c r="A5">
        <v>105</v>
      </c>
      <c r="B5" t="s">
        <v>26</v>
      </c>
      <c r="C5" t="s">
        <v>27</v>
      </c>
      <c r="D5">
        <v>165</v>
      </c>
      <c r="E5" t="s">
        <v>28</v>
      </c>
      <c r="F5" t="s">
        <v>29</v>
      </c>
      <c r="G5" t="s">
        <v>30</v>
      </c>
      <c r="H5" t="s">
        <v>31</v>
      </c>
      <c r="I5">
        <v>1014</v>
      </c>
      <c r="J5" s="1">
        <v>29531</v>
      </c>
      <c r="K5" t="s">
        <v>48</v>
      </c>
      <c r="L5" t="s">
        <v>49</v>
      </c>
      <c r="M5">
        <v>38460</v>
      </c>
      <c r="N5">
        <v>0</v>
      </c>
      <c r="O5" t="s">
        <v>34</v>
      </c>
      <c r="P5">
        <v>0</v>
      </c>
      <c r="Q5">
        <v>20221227</v>
      </c>
      <c r="R5" s="1">
        <v>44922</v>
      </c>
      <c r="S5">
        <v>20221228</v>
      </c>
      <c r="T5" s="1">
        <v>44923</v>
      </c>
      <c r="U5" t="s">
        <v>129</v>
      </c>
      <c r="V5">
        <v>1</v>
      </c>
      <c r="W5">
        <v>3</v>
      </c>
      <c r="X5">
        <v>165</v>
      </c>
      <c r="Y5">
        <v>156</v>
      </c>
      <c r="Z5">
        <v>495</v>
      </c>
    </row>
    <row r="6" spans="1:26" x14ac:dyDescent="0.3">
      <c r="A6">
        <v>105</v>
      </c>
      <c r="B6" t="s">
        <v>26</v>
      </c>
      <c r="C6" t="s">
        <v>27</v>
      </c>
      <c r="D6">
        <v>165</v>
      </c>
      <c r="E6" t="s">
        <v>28</v>
      </c>
      <c r="F6" t="s">
        <v>29</v>
      </c>
      <c r="G6" t="s">
        <v>30</v>
      </c>
      <c r="H6" t="s">
        <v>31</v>
      </c>
      <c r="I6">
        <v>1010</v>
      </c>
      <c r="J6" s="1">
        <v>25937</v>
      </c>
      <c r="K6" t="s">
        <v>32</v>
      </c>
      <c r="L6" t="s">
        <v>33</v>
      </c>
      <c r="M6">
        <v>68571</v>
      </c>
      <c r="N6">
        <v>0</v>
      </c>
      <c r="O6" t="s">
        <v>34</v>
      </c>
      <c r="P6">
        <v>1</v>
      </c>
      <c r="Q6">
        <v>20240902</v>
      </c>
      <c r="R6" s="1">
        <v>45537</v>
      </c>
      <c r="S6">
        <v>20240903</v>
      </c>
      <c r="T6" s="1">
        <v>45538</v>
      </c>
      <c r="U6" t="s">
        <v>139</v>
      </c>
      <c r="V6">
        <v>1</v>
      </c>
      <c r="W6">
        <v>1</v>
      </c>
      <c r="X6">
        <v>165</v>
      </c>
      <c r="Y6">
        <v>150</v>
      </c>
      <c r="Z6">
        <v>165</v>
      </c>
    </row>
    <row r="7" spans="1:26" x14ac:dyDescent="0.3">
      <c r="A7">
        <v>112</v>
      </c>
      <c r="B7" t="s">
        <v>42</v>
      </c>
      <c r="C7" t="s">
        <v>43</v>
      </c>
      <c r="D7">
        <v>465</v>
      </c>
      <c r="E7" t="s">
        <v>44</v>
      </c>
      <c r="F7" t="s">
        <v>45</v>
      </c>
      <c r="G7" t="s">
        <v>46</v>
      </c>
      <c r="H7" t="s">
        <v>47</v>
      </c>
      <c r="I7">
        <v>1043</v>
      </c>
      <c r="J7" s="1">
        <v>27266</v>
      </c>
      <c r="K7" t="s">
        <v>48</v>
      </c>
      <c r="L7" t="s">
        <v>49</v>
      </c>
      <c r="M7">
        <v>25072</v>
      </c>
      <c r="N7">
        <v>1</v>
      </c>
      <c r="O7" t="s">
        <v>34</v>
      </c>
      <c r="P7">
        <v>2</v>
      </c>
      <c r="Q7">
        <v>20251027</v>
      </c>
      <c r="R7" s="1">
        <v>45957</v>
      </c>
      <c r="S7">
        <v>20251030</v>
      </c>
      <c r="T7" s="1">
        <v>45960</v>
      </c>
      <c r="U7" t="s">
        <v>50</v>
      </c>
      <c r="V7">
        <v>1</v>
      </c>
      <c r="W7">
        <v>1</v>
      </c>
      <c r="X7">
        <v>465</v>
      </c>
      <c r="Y7">
        <v>452</v>
      </c>
      <c r="Z7">
        <v>465</v>
      </c>
    </row>
    <row r="8" spans="1:26" x14ac:dyDescent="0.3">
      <c r="A8">
        <v>112</v>
      </c>
      <c r="B8" t="s">
        <v>42</v>
      </c>
      <c r="C8" t="s">
        <v>43</v>
      </c>
      <c r="D8">
        <v>465</v>
      </c>
      <c r="E8" t="s">
        <v>44</v>
      </c>
      <c r="F8" t="s">
        <v>45</v>
      </c>
      <c r="G8" t="s">
        <v>46</v>
      </c>
      <c r="H8" t="s">
        <v>47</v>
      </c>
      <c r="I8">
        <v>1043</v>
      </c>
      <c r="J8" s="1">
        <v>27266</v>
      </c>
      <c r="K8" t="s">
        <v>48</v>
      </c>
      <c r="L8" t="s">
        <v>49</v>
      </c>
      <c r="M8">
        <v>25072</v>
      </c>
      <c r="N8">
        <v>1</v>
      </c>
      <c r="O8" t="s">
        <v>34</v>
      </c>
      <c r="P8">
        <v>2</v>
      </c>
      <c r="Q8">
        <v>20220501</v>
      </c>
      <c r="R8" s="1">
        <v>44682</v>
      </c>
      <c r="S8">
        <v>20220504</v>
      </c>
      <c r="T8" s="1">
        <v>44685</v>
      </c>
      <c r="U8" t="s">
        <v>63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3">
      <c r="A9">
        <v>112</v>
      </c>
      <c r="B9" t="s">
        <v>42</v>
      </c>
      <c r="C9" t="s">
        <v>43</v>
      </c>
      <c r="D9">
        <v>465</v>
      </c>
      <c r="E9" t="s">
        <v>44</v>
      </c>
      <c r="F9" t="s">
        <v>45</v>
      </c>
      <c r="G9" t="s">
        <v>46</v>
      </c>
      <c r="H9" t="s">
        <v>47</v>
      </c>
      <c r="I9">
        <v>1022</v>
      </c>
      <c r="J9" s="1">
        <v>26303</v>
      </c>
      <c r="K9" t="s">
        <v>48</v>
      </c>
      <c r="L9" t="s">
        <v>33</v>
      </c>
      <c r="M9">
        <v>52944</v>
      </c>
      <c r="N9">
        <v>3</v>
      </c>
      <c r="O9" t="s">
        <v>34</v>
      </c>
      <c r="P9">
        <v>1</v>
      </c>
      <c r="Q9">
        <v>20250430</v>
      </c>
      <c r="R9" s="1">
        <v>45777</v>
      </c>
      <c r="S9">
        <v>20250502</v>
      </c>
      <c r="T9" s="1">
        <v>45779</v>
      </c>
      <c r="U9" t="s">
        <v>75</v>
      </c>
      <c r="V9">
        <v>1</v>
      </c>
      <c r="W9">
        <v>4</v>
      </c>
      <c r="X9">
        <v>465</v>
      </c>
      <c r="Y9">
        <v>459</v>
      </c>
      <c r="Z9">
        <v>1860</v>
      </c>
    </row>
    <row r="10" spans="1:26" x14ac:dyDescent="0.3">
      <c r="A10">
        <v>112</v>
      </c>
      <c r="B10" t="s">
        <v>42</v>
      </c>
      <c r="C10" t="s">
        <v>43</v>
      </c>
      <c r="D10">
        <v>465</v>
      </c>
      <c r="E10" t="s">
        <v>44</v>
      </c>
      <c r="F10" t="s">
        <v>45</v>
      </c>
      <c r="G10" t="s">
        <v>46</v>
      </c>
      <c r="H10" t="s">
        <v>47</v>
      </c>
      <c r="I10">
        <v>1002</v>
      </c>
      <c r="J10" s="1">
        <v>32675</v>
      </c>
      <c r="K10" t="s">
        <v>48</v>
      </c>
      <c r="L10" t="s">
        <v>49</v>
      </c>
      <c r="M10">
        <v>64715</v>
      </c>
      <c r="N10">
        <v>1</v>
      </c>
      <c r="O10" t="s">
        <v>55</v>
      </c>
      <c r="P10">
        <v>1</v>
      </c>
      <c r="Q10">
        <v>20240604</v>
      </c>
      <c r="R10" s="1">
        <v>45447</v>
      </c>
      <c r="S10">
        <v>20240606</v>
      </c>
      <c r="T10" s="1">
        <v>45449</v>
      </c>
      <c r="U10" t="s">
        <v>77</v>
      </c>
      <c r="V10">
        <v>1</v>
      </c>
      <c r="W10">
        <v>3</v>
      </c>
      <c r="X10">
        <v>465</v>
      </c>
      <c r="Y10">
        <v>454</v>
      </c>
      <c r="Z10">
        <v>1395</v>
      </c>
    </row>
    <row r="11" spans="1:26" x14ac:dyDescent="0.3">
      <c r="A11">
        <v>112</v>
      </c>
      <c r="B11" t="s">
        <v>42</v>
      </c>
      <c r="C11" t="s">
        <v>43</v>
      </c>
      <c r="D11">
        <v>465</v>
      </c>
      <c r="E11" t="s">
        <v>44</v>
      </c>
      <c r="F11" t="s">
        <v>45</v>
      </c>
      <c r="G11" t="s">
        <v>46</v>
      </c>
      <c r="H11" t="s">
        <v>47</v>
      </c>
      <c r="I11">
        <v>1022</v>
      </c>
      <c r="J11" s="1">
        <v>26303</v>
      </c>
      <c r="K11" t="s">
        <v>48</v>
      </c>
      <c r="L11" t="s">
        <v>33</v>
      </c>
      <c r="M11">
        <v>52944</v>
      </c>
      <c r="N11">
        <v>3</v>
      </c>
      <c r="O11" t="s">
        <v>34</v>
      </c>
      <c r="P11">
        <v>1</v>
      </c>
      <c r="Q11">
        <v>20220615</v>
      </c>
      <c r="R11" s="1">
        <v>44727</v>
      </c>
      <c r="S11">
        <v>20220616</v>
      </c>
      <c r="T11" s="1">
        <v>44728</v>
      </c>
      <c r="U11" t="s">
        <v>84</v>
      </c>
      <c r="V11">
        <v>1</v>
      </c>
      <c r="W11">
        <v>5</v>
      </c>
      <c r="X11">
        <v>465</v>
      </c>
      <c r="Y11">
        <v>451</v>
      </c>
      <c r="Z11">
        <v>2325</v>
      </c>
    </row>
    <row r="12" spans="1:26" x14ac:dyDescent="0.3">
      <c r="A12">
        <v>112</v>
      </c>
      <c r="B12" t="s">
        <v>42</v>
      </c>
      <c r="C12" t="s">
        <v>43</v>
      </c>
      <c r="D12">
        <v>465</v>
      </c>
      <c r="E12" t="s">
        <v>44</v>
      </c>
      <c r="F12" t="s">
        <v>45</v>
      </c>
      <c r="G12" t="s">
        <v>46</v>
      </c>
      <c r="H12" t="s">
        <v>47</v>
      </c>
      <c r="I12">
        <v>1007</v>
      </c>
      <c r="J12" s="1">
        <v>30201</v>
      </c>
      <c r="K12" t="s">
        <v>32</v>
      </c>
      <c r="L12" t="s">
        <v>49</v>
      </c>
      <c r="M12">
        <v>72282</v>
      </c>
      <c r="N12">
        <v>4</v>
      </c>
      <c r="O12" t="s">
        <v>34</v>
      </c>
      <c r="P12">
        <v>3</v>
      </c>
      <c r="Q12">
        <v>20230526</v>
      </c>
      <c r="R12" s="1">
        <v>45072</v>
      </c>
      <c r="S12">
        <v>20230527</v>
      </c>
      <c r="T12" s="1">
        <v>45073</v>
      </c>
      <c r="U12" t="s">
        <v>96</v>
      </c>
      <c r="V12">
        <v>1</v>
      </c>
      <c r="W12">
        <v>3</v>
      </c>
      <c r="X12">
        <v>465</v>
      </c>
      <c r="Y12">
        <v>454</v>
      </c>
      <c r="Z12">
        <v>1395</v>
      </c>
    </row>
    <row r="13" spans="1:26" x14ac:dyDescent="0.3">
      <c r="A13">
        <v>112</v>
      </c>
      <c r="B13" t="s">
        <v>42</v>
      </c>
      <c r="C13" t="s">
        <v>43</v>
      </c>
      <c r="D13">
        <v>465</v>
      </c>
      <c r="E13" t="s">
        <v>44</v>
      </c>
      <c r="F13" t="s">
        <v>45</v>
      </c>
      <c r="G13" t="s">
        <v>46</v>
      </c>
      <c r="H13" t="s">
        <v>47</v>
      </c>
      <c r="I13">
        <v>1010</v>
      </c>
      <c r="J13" s="1">
        <v>25937</v>
      </c>
      <c r="K13" t="s">
        <v>32</v>
      </c>
      <c r="L13" t="s">
        <v>33</v>
      </c>
      <c r="M13">
        <v>68571</v>
      </c>
      <c r="N13">
        <v>0</v>
      </c>
      <c r="O13" t="s">
        <v>34</v>
      </c>
      <c r="P13">
        <v>1</v>
      </c>
      <c r="Q13">
        <v>20240220</v>
      </c>
      <c r="R13" s="1">
        <v>45342</v>
      </c>
      <c r="S13">
        <v>20240221</v>
      </c>
      <c r="T13" s="1">
        <v>45343</v>
      </c>
      <c r="U13" t="s">
        <v>99</v>
      </c>
      <c r="V13">
        <v>1</v>
      </c>
      <c r="W13">
        <v>3</v>
      </c>
      <c r="X13">
        <v>465</v>
      </c>
      <c r="Y13">
        <v>459</v>
      </c>
      <c r="Z13">
        <v>1395</v>
      </c>
    </row>
    <row r="14" spans="1:26" x14ac:dyDescent="0.3">
      <c r="A14">
        <v>112</v>
      </c>
      <c r="B14" t="s">
        <v>42</v>
      </c>
      <c r="C14" t="s">
        <v>43</v>
      </c>
      <c r="D14">
        <v>465</v>
      </c>
      <c r="E14" t="s">
        <v>44</v>
      </c>
      <c r="F14" t="s">
        <v>45</v>
      </c>
      <c r="G14" t="s">
        <v>46</v>
      </c>
      <c r="H14" t="s">
        <v>47</v>
      </c>
      <c r="I14">
        <v>1030</v>
      </c>
      <c r="J14" s="1">
        <v>29588</v>
      </c>
      <c r="K14" t="s">
        <v>48</v>
      </c>
      <c r="L14" t="s">
        <v>49</v>
      </c>
      <c r="M14">
        <v>51346</v>
      </c>
      <c r="N14">
        <v>2</v>
      </c>
      <c r="O14" t="s">
        <v>34</v>
      </c>
      <c r="P14">
        <v>1</v>
      </c>
      <c r="Q14">
        <v>20220913</v>
      </c>
      <c r="R14" s="1">
        <v>44817</v>
      </c>
      <c r="S14">
        <v>20220915</v>
      </c>
      <c r="T14" s="1">
        <v>44819</v>
      </c>
      <c r="U14" t="s">
        <v>105</v>
      </c>
      <c r="V14">
        <v>1</v>
      </c>
      <c r="W14">
        <v>1</v>
      </c>
      <c r="X14">
        <v>465</v>
      </c>
      <c r="Y14">
        <v>457</v>
      </c>
      <c r="Z14">
        <v>465</v>
      </c>
    </row>
    <row r="15" spans="1:26" x14ac:dyDescent="0.3">
      <c r="A15">
        <v>112</v>
      </c>
      <c r="B15" t="s">
        <v>42</v>
      </c>
      <c r="C15" t="s">
        <v>43</v>
      </c>
      <c r="D15">
        <v>465</v>
      </c>
      <c r="E15" t="s">
        <v>44</v>
      </c>
      <c r="F15" t="s">
        <v>45</v>
      </c>
      <c r="G15" t="s">
        <v>46</v>
      </c>
      <c r="H15" t="s">
        <v>47</v>
      </c>
      <c r="I15">
        <v>1007</v>
      </c>
      <c r="J15" s="1">
        <v>30201</v>
      </c>
      <c r="K15" t="s">
        <v>32</v>
      </c>
      <c r="L15" t="s">
        <v>49</v>
      </c>
      <c r="M15">
        <v>72282</v>
      </c>
      <c r="N15">
        <v>4</v>
      </c>
      <c r="O15" t="s">
        <v>34</v>
      </c>
      <c r="P15">
        <v>3</v>
      </c>
      <c r="Q15">
        <v>20220730</v>
      </c>
      <c r="R15" s="1">
        <v>44772</v>
      </c>
      <c r="S15">
        <v>20220801</v>
      </c>
      <c r="T15" s="1">
        <v>44774</v>
      </c>
      <c r="U15" t="s">
        <v>127</v>
      </c>
      <c r="V15">
        <v>1</v>
      </c>
      <c r="W15">
        <v>3</v>
      </c>
      <c r="X15">
        <v>465</v>
      </c>
      <c r="Y15">
        <v>459</v>
      </c>
      <c r="Z15">
        <v>1395</v>
      </c>
    </row>
    <row r="16" spans="1:26" x14ac:dyDescent="0.3">
      <c r="A16">
        <v>112</v>
      </c>
      <c r="B16" t="s">
        <v>42</v>
      </c>
      <c r="C16" t="s">
        <v>43</v>
      </c>
      <c r="D16">
        <v>465</v>
      </c>
      <c r="E16" t="s">
        <v>44</v>
      </c>
      <c r="F16" t="s">
        <v>45</v>
      </c>
      <c r="G16" t="s">
        <v>46</v>
      </c>
      <c r="H16" t="s">
        <v>47</v>
      </c>
      <c r="I16">
        <v>1002</v>
      </c>
      <c r="J16" s="1">
        <v>32675</v>
      </c>
      <c r="K16" t="s">
        <v>48</v>
      </c>
      <c r="L16" t="s">
        <v>49</v>
      </c>
      <c r="M16">
        <v>64715</v>
      </c>
      <c r="N16">
        <v>1</v>
      </c>
      <c r="O16" t="s">
        <v>55</v>
      </c>
      <c r="P16">
        <v>1</v>
      </c>
      <c r="Q16">
        <v>20240405</v>
      </c>
      <c r="R16" s="1">
        <v>45387</v>
      </c>
      <c r="S16">
        <v>20240406</v>
      </c>
      <c r="T16" s="1">
        <v>45388</v>
      </c>
      <c r="U16" t="s">
        <v>132</v>
      </c>
      <c r="V16">
        <v>1</v>
      </c>
      <c r="W16">
        <v>4</v>
      </c>
      <c r="X16">
        <v>465</v>
      </c>
      <c r="Y16">
        <v>460</v>
      </c>
      <c r="Z16">
        <v>1860</v>
      </c>
    </row>
    <row r="17" spans="1:26" x14ac:dyDescent="0.3">
      <c r="A17">
        <v>112</v>
      </c>
      <c r="B17" t="s">
        <v>42</v>
      </c>
      <c r="C17" t="s">
        <v>43</v>
      </c>
      <c r="D17">
        <v>465</v>
      </c>
      <c r="E17" t="s">
        <v>44</v>
      </c>
      <c r="F17" t="s">
        <v>45</v>
      </c>
      <c r="G17" t="s">
        <v>46</v>
      </c>
      <c r="H17" t="s">
        <v>47</v>
      </c>
      <c r="I17">
        <v>1016</v>
      </c>
      <c r="J17" s="1">
        <v>33863</v>
      </c>
      <c r="K17" t="s">
        <v>48</v>
      </c>
      <c r="L17" t="s">
        <v>49</v>
      </c>
      <c r="M17">
        <v>50603</v>
      </c>
      <c r="N17">
        <v>1</v>
      </c>
      <c r="O17" t="s">
        <v>55</v>
      </c>
      <c r="P17">
        <v>0</v>
      </c>
      <c r="Q17">
        <v>20250614</v>
      </c>
      <c r="R17" s="1">
        <v>45822</v>
      </c>
      <c r="S17">
        <v>20250615</v>
      </c>
      <c r="T17" s="1">
        <v>45823</v>
      </c>
      <c r="U17" t="s">
        <v>144</v>
      </c>
      <c r="V17">
        <v>1</v>
      </c>
      <c r="W17">
        <v>1</v>
      </c>
      <c r="X17">
        <v>465</v>
      </c>
      <c r="Y17">
        <v>451</v>
      </c>
      <c r="Z17">
        <v>465</v>
      </c>
    </row>
    <row r="18" spans="1:26" x14ac:dyDescent="0.3">
      <c r="A18">
        <v>112</v>
      </c>
      <c r="B18" t="s">
        <v>42</v>
      </c>
      <c r="C18" t="s">
        <v>43</v>
      </c>
      <c r="D18">
        <v>465</v>
      </c>
      <c r="E18" t="s">
        <v>44</v>
      </c>
      <c r="F18" t="s">
        <v>45</v>
      </c>
      <c r="G18" t="s">
        <v>46</v>
      </c>
      <c r="H18" t="s">
        <v>47</v>
      </c>
      <c r="I18">
        <v>1010</v>
      </c>
      <c r="J18" s="1">
        <v>25937</v>
      </c>
      <c r="K18" t="s">
        <v>32</v>
      </c>
      <c r="L18" t="s">
        <v>33</v>
      </c>
      <c r="M18">
        <v>68571</v>
      </c>
      <c r="N18">
        <v>0</v>
      </c>
      <c r="O18" t="s">
        <v>34</v>
      </c>
      <c r="P18">
        <v>1</v>
      </c>
      <c r="Q18">
        <v>20220215</v>
      </c>
      <c r="R18" s="1">
        <v>44607</v>
      </c>
      <c r="S18">
        <v>20220217</v>
      </c>
      <c r="T18" s="1">
        <v>44609</v>
      </c>
      <c r="U18" t="s">
        <v>162</v>
      </c>
      <c r="V18">
        <v>1</v>
      </c>
      <c r="W18">
        <v>1</v>
      </c>
      <c r="X18">
        <v>465</v>
      </c>
      <c r="Y18">
        <v>452</v>
      </c>
      <c r="Z18">
        <v>465</v>
      </c>
    </row>
    <row r="19" spans="1:26" x14ac:dyDescent="0.3">
      <c r="A19">
        <v>112</v>
      </c>
      <c r="B19" t="s">
        <v>42</v>
      </c>
      <c r="C19" t="s">
        <v>43</v>
      </c>
      <c r="D19">
        <v>465</v>
      </c>
      <c r="E19" t="s">
        <v>44</v>
      </c>
      <c r="F19" t="s">
        <v>45</v>
      </c>
      <c r="G19" t="s">
        <v>46</v>
      </c>
      <c r="H19" t="s">
        <v>47</v>
      </c>
      <c r="I19">
        <v>1010</v>
      </c>
      <c r="J19" s="1">
        <v>25937</v>
      </c>
      <c r="K19" t="s">
        <v>32</v>
      </c>
      <c r="L19" t="s">
        <v>33</v>
      </c>
      <c r="M19">
        <v>68571</v>
      </c>
      <c r="N19">
        <v>0</v>
      </c>
      <c r="O19" t="s">
        <v>34</v>
      </c>
      <c r="P19">
        <v>1</v>
      </c>
      <c r="Q19">
        <v>20240902</v>
      </c>
      <c r="R19" s="1">
        <v>45537</v>
      </c>
      <c r="S19">
        <v>20240903</v>
      </c>
      <c r="T19" s="1">
        <v>45538</v>
      </c>
      <c r="U19" t="s">
        <v>163</v>
      </c>
      <c r="V19">
        <v>1</v>
      </c>
      <c r="W19">
        <v>3</v>
      </c>
      <c r="X19">
        <v>465</v>
      </c>
      <c r="Y19">
        <v>459</v>
      </c>
      <c r="Z19">
        <v>1395</v>
      </c>
    </row>
    <row r="20" spans="1:26" x14ac:dyDescent="0.3">
      <c r="A20">
        <v>114</v>
      </c>
      <c r="B20" t="s">
        <v>60</v>
      </c>
      <c r="C20" t="s">
        <v>61</v>
      </c>
      <c r="D20">
        <v>253</v>
      </c>
      <c r="E20" t="s">
        <v>53</v>
      </c>
      <c r="F20" t="s">
        <v>29</v>
      </c>
      <c r="G20" t="s">
        <v>46</v>
      </c>
      <c r="H20" t="s">
        <v>47</v>
      </c>
      <c r="I20">
        <v>1030</v>
      </c>
      <c r="J20" s="1">
        <v>29588</v>
      </c>
      <c r="K20" t="s">
        <v>48</v>
      </c>
      <c r="L20" t="s">
        <v>49</v>
      </c>
      <c r="M20">
        <v>51346</v>
      </c>
      <c r="N20">
        <v>2</v>
      </c>
      <c r="O20" t="s">
        <v>34</v>
      </c>
      <c r="P20">
        <v>1</v>
      </c>
      <c r="Q20">
        <v>20240420</v>
      </c>
      <c r="R20" s="1">
        <v>45402</v>
      </c>
      <c r="S20">
        <v>20240423</v>
      </c>
      <c r="T20" s="1">
        <v>45405</v>
      </c>
      <c r="U20" t="s">
        <v>62</v>
      </c>
      <c r="V20">
        <v>1</v>
      </c>
      <c r="W20">
        <v>3</v>
      </c>
      <c r="X20">
        <v>253</v>
      </c>
      <c r="Y20">
        <v>240</v>
      </c>
      <c r="Z20">
        <v>759</v>
      </c>
    </row>
    <row r="21" spans="1:26" x14ac:dyDescent="0.3">
      <c r="A21">
        <v>114</v>
      </c>
      <c r="B21" t="s">
        <v>60</v>
      </c>
      <c r="C21" t="s">
        <v>61</v>
      </c>
      <c r="D21">
        <v>253</v>
      </c>
      <c r="E21" t="s">
        <v>53</v>
      </c>
      <c r="F21" t="s">
        <v>29</v>
      </c>
      <c r="G21" t="s">
        <v>46</v>
      </c>
      <c r="H21" t="s">
        <v>47</v>
      </c>
      <c r="I21">
        <v>1030</v>
      </c>
      <c r="J21" s="1">
        <v>29588</v>
      </c>
      <c r="K21" t="s">
        <v>48</v>
      </c>
      <c r="L21" t="s">
        <v>49</v>
      </c>
      <c r="M21">
        <v>51346</v>
      </c>
      <c r="N21">
        <v>2</v>
      </c>
      <c r="O21" t="s">
        <v>34</v>
      </c>
      <c r="P21">
        <v>1</v>
      </c>
      <c r="Q21">
        <v>20230908</v>
      </c>
      <c r="R21" s="1">
        <v>45177</v>
      </c>
      <c r="S21">
        <v>20230909</v>
      </c>
      <c r="T21" s="1">
        <v>45178</v>
      </c>
      <c r="U21" t="s">
        <v>70</v>
      </c>
      <c r="V21">
        <v>1</v>
      </c>
      <c r="W21">
        <v>1</v>
      </c>
      <c r="X21">
        <v>253</v>
      </c>
      <c r="Y21">
        <v>240</v>
      </c>
      <c r="Z21">
        <v>253</v>
      </c>
    </row>
    <row r="22" spans="1:26" x14ac:dyDescent="0.3">
      <c r="A22">
        <v>114</v>
      </c>
      <c r="B22" t="s">
        <v>60</v>
      </c>
      <c r="C22" t="s">
        <v>61</v>
      </c>
      <c r="D22">
        <v>253</v>
      </c>
      <c r="E22" t="s">
        <v>53</v>
      </c>
      <c r="F22" t="s">
        <v>29</v>
      </c>
      <c r="G22" t="s">
        <v>46</v>
      </c>
      <c r="H22" t="s">
        <v>47</v>
      </c>
      <c r="I22">
        <v>1014</v>
      </c>
      <c r="J22" s="1">
        <v>29531</v>
      </c>
      <c r="K22" t="s">
        <v>48</v>
      </c>
      <c r="L22" t="s">
        <v>49</v>
      </c>
      <c r="M22">
        <v>38460</v>
      </c>
      <c r="N22">
        <v>0</v>
      </c>
      <c r="O22" t="s">
        <v>34</v>
      </c>
      <c r="P22">
        <v>0</v>
      </c>
      <c r="Q22">
        <v>20220302</v>
      </c>
      <c r="R22" s="1">
        <v>44622</v>
      </c>
      <c r="S22">
        <v>20220304</v>
      </c>
      <c r="T22" s="1">
        <v>44624</v>
      </c>
      <c r="U22" t="s">
        <v>104</v>
      </c>
      <c r="V22">
        <v>1</v>
      </c>
      <c r="W22">
        <v>1</v>
      </c>
      <c r="X22">
        <v>253</v>
      </c>
      <c r="Y22">
        <v>238</v>
      </c>
      <c r="Z22">
        <v>253</v>
      </c>
    </row>
    <row r="23" spans="1:26" x14ac:dyDescent="0.3">
      <c r="A23">
        <v>114</v>
      </c>
      <c r="B23" t="s">
        <v>60</v>
      </c>
      <c r="C23" t="s">
        <v>61</v>
      </c>
      <c r="D23">
        <v>253</v>
      </c>
      <c r="E23" t="s">
        <v>53</v>
      </c>
      <c r="F23" t="s">
        <v>29</v>
      </c>
      <c r="G23" t="s">
        <v>46</v>
      </c>
      <c r="H23" t="s">
        <v>47</v>
      </c>
      <c r="I23">
        <v>1049</v>
      </c>
      <c r="J23" s="1">
        <v>31447</v>
      </c>
      <c r="K23" t="s">
        <v>48</v>
      </c>
      <c r="L23" t="s">
        <v>33</v>
      </c>
      <c r="M23">
        <v>37462</v>
      </c>
      <c r="N23">
        <v>2</v>
      </c>
      <c r="O23" t="s">
        <v>34</v>
      </c>
      <c r="P23">
        <v>0</v>
      </c>
      <c r="Q23">
        <v>20240902</v>
      </c>
      <c r="R23" s="1">
        <v>45537</v>
      </c>
      <c r="S23">
        <v>20240905</v>
      </c>
      <c r="T23" s="1">
        <v>45540</v>
      </c>
      <c r="U23" t="s">
        <v>107</v>
      </c>
      <c r="V23">
        <v>1</v>
      </c>
      <c r="W23">
        <v>1</v>
      </c>
      <c r="X23">
        <v>253</v>
      </c>
      <c r="Y23">
        <v>246</v>
      </c>
      <c r="Z23">
        <v>253</v>
      </c>
    </row>
    <row r="24" spans="1:26" x14ac:dyDescent="0.3">
      <c r="A24">
        <v>114</v>
      </c>
      <c r="B24" t="s">
        <v>60</v>
      </c>
      <c r="C24" t="s">
        <v>61</v>
      </c>
      <c r="D24">
        <v>253</v>
      </c>
      <c r="E24" t="s">
        <v>53</v>
      </c>
      <c r="F24" t="s">
        <v>29</v>
      </c>
      <c r="G24" t="s">
        <v>46</v>
      </c>
      <c r="H24" t="s">
        <v>47</v>
      </c>
      <c r="I24">
        <v>1018</v>
      </c>
      <c r="J24" s="1">
        <v>25834</v>
      </c>
      <c r="K24" t="s">
        <v>48</v>
      </c>
      <c r="L24" t="s">
        <v>33</v>
      </c>
      <c r="M24">
        <v>49779</v>
      </c>
      <c r="N24">
        <v>2</v>
      </c>
      <c r="O24" t="s">
        <v>55</v>
      </c>
      <c r="P24">
        <v>0</v>
      </c>
      <c r="Q24">
        <v>20240505</v>
      </c>
      <c r="R24" s="1">
        <v>45417</v>
      </c>
      <c r="S24">
        <v>20240507</v>
      </c>
      <c r="T24" s="1">
        <v>45419</v>
      </c>
      <c r="U24" t="s">
        <v>124</v>
      </c>
      <c r="V24">
        <v>1</v>
      </c>
      <c r="W24">
        <v>3</v>
      </c>
      <c r="X24">
        <v>253</v>
      </c>
      <c r="Y24">
        <v>243</v>
      </c>
      <c r="Z24">
        <v>759</v>
      </c>
    </row>
    <row r="25" spans="1:26" x14ac:dyDescent="0.3">
      <c r="A25">
        <v>114</v>
      </c>
      <c r="B25" t="s">
        <v>60</v>
      </c>
      <c r="C25" t="s">
        <v>61</v>
      </c>
      <c r="D25">
        <v>253</v>
      </c>
      <c r="E25" t="s">
        <v>53</v>
      </c>
      <c r="F25" t="s">
        <v>29</v>
      </c>
      <c r="G25" t="s">
        <v>46</v>
      </c>
      <c r="H25" t="s">
        <v>47</v>
      </c>
      <c r="I25">
        <v>1007</v>
      </c>
      <c r="J25" s="1">
        <v>30201</v>
      </c>
      <c r="K25" t="s">
        <v>32</v>
      </c>
      <c r="L25" t="s">
        <v>49</v>
      </c>
      <c r="M25">
        <v>72282</v>
      </c>
      <c r="N25">
        <v>4</v>
      </c>
      <c r="O25" t="s">
        <v>34</v>
      </c>
      <c r="P25">
        <v>3</v>
      </c>
      <c r="Q25">
        <v>20220215</v>
      </c>
      <c r="R25" s="1">
        <v>44607</v>
      </c>
      <c r="S25">
        <v>20220218</v>
      </c>
      <c r="T25" s="1">
        <v>44610</v>
      </c>
      <c r="U25" t="s">
        <v>125</v>
      </c>
      <c r="V25">
        <v>1</v>
      </c>
      <c r="W25">
        <v>4</v>
      </c>
      <c r="X25">
        <v>253</v>
      </c>
      <c r="Y25">
        <v>239</v>
      </c>
      <c r="Z25">
        <v>1012</v>
      </c>
    </row>
    <row r="26" spans="1:26" x14ac:dyDescent="0.3">
      <c r="A26">
        <v>114</v>
      </c>
      <c r="B26" t="s">
        <v>60</v>
      </c>
      <c r="C26" t="s">
        <v>61</v>
      </c>
      <c r="D26">
        <v>253</v>
      </c>
      <c r="E26" t="s">
        <v>53</v>
      </c>
      <c r="F26" t="s">
        <v>29</v>
      </c>
      <c r="G26" t="s">
        <v>46</v>
      </c>
      <c r="H26" t="s">
        <v>47</v>
      </c>
      <c r="I26">
        <v>1022</v>
      </c>
      <c r="J26" s="1">
        <v>26303</v>
      </c>
      <c r="K26" t="s">
        <v>48</v>
      </c>
      <c r="L26" t="s">
        <v>33</v>
      </c>
      <c r="M26">
        <v>52944</v>
      </c>
      <c r="N26">
        <v>3</v>
      </c>
      <c r="O26" t="s">
        <v>34</v>
      </c>
      <c r="P26">
        <v>1</v>
      </c>
      <c r="Q26">
        <v>20240704</v>
      </c>
      <c r="R26" s="1">
        <v>45477</v>
      </c>
      <c r="S26">
        <v>20240707</v>
      </c>
      <c r="T26" s="1">
        <v>45480</v>
      </c>
      <c r="U26" t="s">
        <v>135</v>
      </c>
      <c r="V26">
        <v>1</v>
      </c>
      <c r="W26">
        <v>3</v>
      </c>
      <c r="X26">
        <v>253</v>
      </c>
      <c r="Y26">
        <v>239</v>
      </c>
      <c r="Z26">
        <v>759</v>
      </c>
    </row>
    <row r="27" spans="1:26" x14ac:dyDescent="0.3">
      <c r="A27">
        <v>114</v>
      </c>
      <c r="B27" t="s">
        <v>60</v>
      </c>
      <c r="C27" t="s">
        <v>61</v>
      </c>
      <c r="D27">
        <v>253</v>
      </c>
      <c r="E27" t="s">
        <v>53</v>
      </c>
      <c r="F27" t="s">
        <v>29</v>
      </c>
      <c r="G27" t="s">
        <v>46</v>
      </c>
      <c r="H27" t="s">
        <v>47</v>
      </c>
      <c r="I27">
        <v>1030</v>
      </c>
      <c r="J27" s="1">
        <v>29588</v>
      </c>
      <c r="K27" t="s">
        <v>48</v>
      </c>
      <c r="L27" t="s">
        <v>49</v>
      </c>
      <c r="M27">
        <v>51346</v>
      </c>
      <c r="N27">
        <v>2</v>
      </c>
      <c r="O27" t="s">
        <v>34</v>
      </c>
      <c r="P27">
        <v>1</v>
      </c>
      <c r="Q27">
        <v>20240121</v>
      </c>
      <c r="R27" s="1">
        <v>45312</v>
      </c>
      <c r="S27">
        <v>20240123</v>
      </c>
      <c r="T27" s="1">
        <v>45314</v>
      </c>
      <c r="U27" t="s">
        <v>140</v>
      </c>
      <c r="V27">
        <v>1</v>
      </c>
      <c r="W27">
        <v>3</v>
      </c>
      <c r="X27">
        <v>253</v>
      </c>
      <c r="Y27">
        <v>242</v>
      </c>
      <c r="Z27">
        <v>759</v>
      </c>
    </row>
    <row r="28" spans="1:26" x14ac:dyDescent="0.3">
      <c r="A28">
        <v>114</v>
      </c>
      <c r="B28" t="s">
        <v>60</v>
      </c>
      <c r="C28" t="s">
        <v>61</v>
      </c>
      <c r="D28">
        <v>253</v>
      </c>
      <c r="E28" t="s">
        <v>53</v>
      </c>
      <c r="F28" t="s">
        <v>29</v>
      </c>
      <c r="G28" t="s">
        <v>46</v>
      </c>
      <c r="H28" t="s">
        <v>47</v>
      </c>
      <c r="I28">
        <v>1007</v>
      </c>
      <c r="J28" s="1">
        <v>30201</v>
      </c>
      <c r="K28" t="s">
        <v>32</v>
      </c>
      <c r="L28" t="s">
        <v>49</v>
      </c>
      <c r="M28">
        <v>72282</v>
      </c>
      <c r="N28">
        <v>4</v>
      </c>
      <c r="O28" t="s">
        <v>34</v>
      </c>
      <c r="P28">
        <v>3</v>
      </c>
      <c r="Q28">
        <v>20240205</v>
      </c>
      <c r="R28" s="1">
        <v>45327</v>
      </c>
      <c r="S28">
        <v>20240208</v>
      </c>
      <c r="T28" s="1">
        <v>45330</v>
      </c>
      <c r="U28" t="s">
        <v>142</v>
      </c>
      <c r="V28">
        <v>1</v>
      </c>
      <c r="W28">
        <v>1</v>
      </c>
      <c r="X28">
        <v>253</v>
      </c>
      <c r="Y28">
        <v>248</v>
      </c>
      <c r="Z28">
        <v>253</v>
      </c>
    </row>
    <row r="29" spans="1:26" x14ac:dyDescent="0.3">
      <c r="A29">
        <v>114</v>
      </c>
      <c r="B29" t="s">
        <v>60</v>
      </c>
      <c r="C29" t="s">
        <v>61</v>
      </c>
      <c r="D29">
        <v>253</v>
      </c>
      <c r="E29" t="s">
        <v>53</v>
      </c>
      <c r="F29" t="s">
        <v>29</v>
      </c>
      <c r="G29" t="s">
        <v>46</v>
      </c>
      <c r="H29" t="s">
        <v>47</v>
      </c>
      <c r="I29">
        <v>1022</v>
      </c>
      <c r="J29" s="1">
        <v>26303</v>
      </c>
      <c r="K29" t="s">
        <v>48</v>
      </c>
      <c r="L29" t="s">
        <v>33</v>
      </c>
      <c r="M29">
        <v>52944</v>
      </c>
      <c r="N29">
        <v>3</v>
      </c>
      <c r="O29" t="s">
        <v>34</v>
      </c>
      <c r="P29">
        <v>1</v>
      </c>
      <c r="Q29">
        <v>20240121</v>
      </c>
      <c r="R29" s="1">
        <v>45312</v>
      </c>
      <c r="S29">
        <v>20240122</v>
      </c>
      <c r="T29" s="1">
        <v>45313</v>
      </c>
      <c r="U29" t="s">
        <v>149</v>
      </c>
      <c r="V29">
        <v>1</v>
      </c>
      <c r="W29">
        <v>5</v>
      </c>
      <c r="X29">
        <v>253</v>
      </c>
      <c r="Y29">
        <v>238</v>
      </c>
      <c r="Z29">
        <v>1265</v>
      </c>
    </row>
    <row r="30" spans="1:26" x14ac:dyDescent="0.3">
      <c r="A30">
        <v>114</v>
      </c>
      <c r="B30" t="s">
        <v>60</v>
      </c>
      <c r="C30" t="s">
        <v>61</v>
      </c>
      <c r="D30">
        <v>253</v>
      </c>
      <c r="E30" t="s">
        <v>53</v>
      </c>
      <c r="F30" t="s">
        <v>29</v>
      </c>
      <c r="G30" t="s">
        <v>46</v>
      </c>
      <c r="H30" t="s">
        <v>47</v>
      </c>
      <c r="I30">
        <v>1030</v>
      </c>
      <c r="J30" s="1">
        <v>29588</v>
      </c>
      <c r="K30" t="s">
        <v>48</v>
      </c>
      <c r="L30" t="s">
        <v>49</v>
      </c>
      <c r="M30">
        <v>51346</v>
      </c>
      <c r="N30">
        <v>2</v>
      </c>
      <c r="O30" t="s">
        <v>34</v>
      </c>
      <c r="P30">
        <v>1</v>
      </c>
      <c r="Q30">
        <v>20250331</v>
      </c>
      <c r="R30" s="1">
        <v>45747</v>
      </c>
      <c r="S30">
        <v>20250402</v>
      </c>
      <c r="T30" s="1">
        <v>45749</v>
      </c>
      <c r="U30" t="s">
        <v>158</v>
      </c>
      <c r="V30">
        <v>1</v>
      </c>
      <c r="W30">
        <v>1</v>
      </c>
      <c r="X30">
        <v>253</v>
      </c>
      <c r="Y30">
        <v>246</v>
      </c>
      <c r="Z30">
        <v>253</v>
      </c>
    </row>
    <row r="31" spans="1:26" x14ac:dyDescent="0.3">
      <c r="A31">
        <v>118</v>
      </c>
      <c r="B31" t="s">
        <v>80</v>
      </c>
      <c r="C31" t="s">
        <v>81</v>
      </c>
      <c r="D31">
        <v>63</v>
      </c>
      <c r="E31" t="s">
        <v>28</v>
      </c>
      <c r="F31" t="s">
        <v>29</v>
      </c>
      <c r="G31" t="s">
        <v>30</v>
      </c>
      <c r="H31" t="s">
        <v>31</v>
      </c>
      <c r="I31">
        <v>1030</v>
      </c>
      <c r="J31" s="1">
        <v>29588</v>
      </c>
      <c r="K31" t="s">
        <v>48</v>
      </c>
      <c r="L31" t="s">
        <v>49</v>
      </c>
      <c r="M31">
        <v>51346</v>
      </c>
      <c r="N31">
        <v>2</v>
      </c>
      <c r="O31" t="s">
        <v>34</v>
      </c>
      <c r="P31">
        <v>1</v>
      </c>
      <c r="Q31">
        <v>20240505</v>
      </c>
      <c r="R31" s="1">
        <v>45417</v>
      </c>
      <c r="S31">
        <v>20240507</v>
      </c>
      <c r="T31" s="1">
        <v>45419</v>
      </c>
      <c r="U31" t="s">
        <v>82</v>
      </c>
      <c r="V31">
        <v>1</v>
      </c>
      <c r="W31">
        <v>3</v>
      </c>
      <c r="X31">
        <v>63</v>
      </c>
      <c r="Y31">
        <v>55</v>
      </c>
      <c r="Z31">
        <v>189</v>
      </c>
    </row>
    <row r="32" spans="1:26" x14ac:dyDescent="0.3">
      <c r="A32">
        <v>118</v>
      </c>
      <c r="B32" t="s">
        <v>80</v>
      </c>
      <c r="C32" t="s">
        <v>81</v>
      </c>
      <c r="D32">
        <v>63</v>
      </c>
      <c r="E32" t="s">
        <v>28</v>
      </c>
      <c r="F32" t="s">
        <v>29</v>
      </c>
      <c r="G32" t="s">
        <v>30</v>
      </c>
      <c r="H32" t="s">
        <v>31</v>
      </c>
      <c r="I32">
        <v>1007</v>
      </c>
      <c r="J32" s="1">
        <v>30201</v>
      </c>
      <c r="K32" t="s">
        <v>32</v>
      </c>
      <c r="L32" t="s">
        <v>49</v>
      </c>
      <c r="M32">
        <v>72282</v>
      </c>
      <c r="N32">
        <v>4</v>
      </c>
      <c r="O32" t="s">
        <v>34</v>
      </c>
      <c r="P32">
        <v>3</v>
      </c>
      <c r="Q32">
        <v>20251211</v>
      </c>
      <c r="R32" s="1">
        <v>46002</v>
      </c>
      <c r="S32">
        <v>20251213</v>
      </c>
      <c r="T32" s="1">
        <v>46004</v>
      </c>
      <c r="U32" t="s">
        <v>83</v>
      </c>
      <c r="V32">
        <v>1</v>
      </c>
      <c r="W32">
        <v>3</v>
      </c>
      <c r="X32">
        <v>63</v>
      </c>
      <c r="Y32">
        <v>48</v>
      </c>
      <c r="Z32">
        <v>189</v>
      </c>
    </row>
    <row r="33" spans="1:26" x14ac:dyDescent="0.3">
      <c r="A33">
        <v>118</v>
      </c>
      <c r="B33" t="s">
        <v>80</v>
      </c>
      <c r="C33" t="s">
        <v>81</v>
      </c>
      <c r="D33">
        <v>63</v>
      </c>
      <c r="E33" t="s">
        <v>28</v>
      </c>
      <c r="F33" t="s">
        <v>29</v>
      </c>
      <c r="G33" t="s">
        <v>30</v>
      </c>
      <c r="H33" t="s">
        <v>31</v>
      </c>
      <c r="I33">
        <v>1043</v>
      </c>
      <c r="J33" s="1">
        <v>27266</v>
      </c>
      <c r="K33" t="s">
        <v>48</v>
      </c>
      <c r="L33" t="s">
        <v>49</v>
      </c>
      <c r="M33">
        <v>25072</v>
      </c>
      <c r="N33">
        <v>1</v>
      </c>
      <c r="O33" t="s">
        <v>34</v>
      </c>
      <c r="P33">
        <v>2</v>
      </c>
      <c r="Q33">
        <v>20221013</v>
      </c>
      <c r="R33" s="1">
        <v>44847</v>
      </c>
      <c r="S33">
        <v>20221014</v>
      </c>
      <c r="T33" s="1">
        <v>44848</v>
      </c>
      <c r="U33" t="s">
        <v>86</v>
      </c>
      <c r="V33">
        <v>1</v>
      </c>
      <c r="W33">
        <v>1</v>
      </c>
      <c r="X33">
        <v>63</v>
      </c>
      <c r="Y33">
        <v>54</v>
      </c>
      <c r="Z33">
        <v>63</v>
      </c>
    </row>
    <row r="34" spans="1:26" x14ac:dyDescent="0.3">
      <c r="A34">
        <v>118</v>
      </c>
      <c r="B34" t="s">
        <v>80</v>
      </c>
      <c r="C34" t="s">
        <v>81</v>
      </c>
      <c r="D34">
        <v>63</v>
      </c>
      <c r="E34" t="s">
        <v>28</v>
      </c>
      <c r="F34" t="s">
        <v>29</v>
      </c>
      <c r="G34" t="s">
        <v>30</v>
      </c>
      <c r="H34" t="s">
        <v>31</v>
      </c>
      <c r="I34">
        <v>1018</v>
      </c>
      <c r="J34" s="1">
        <v>25834</v>
      </c>
      <c r="K34" t="s">
        <v>48</v>
      </c>
      <c r="L34" t="s">
        <v>33</v>
      </c>
      <c r="M34">
        <v>49779</v>
      </c>
      <c r="N34">
        <v>2</v>
      </c>
      <c r="O34" t="s">
        <v>55</v>
      </c>
      <c r="P34">
        <v>0</v>
      </c>
      <c r="Q34">
        <v>20230526</v>
      </c>
      <c r="R34" s="1">
        <v>45072</v>
      </c>
      <c r="S34">
        <v>20230529</v>
      </c>
      <c r="T34" s="1">
        <v>45075</v>
      </c>
      <c r="U34" t="s">
        <v>102</v>
      </c>
      <c r="V34">
        <v>1</v>
      </c>
      <c r="W34">
        <v>5</v>
      </c>
      <c r="X34">
        <v>63</v>
      </c>
      <c r="Y34">
        <v>49</v>
      </c>
      <c r="Z34">
        <v>315</v>
      </c>
    </row>
    <row r="35" spans="1:26" x14ac:dyDescent="0.3">
      <c r="A35">
        <v>118</v>
      </c>
      <c r="B35" t="s">
        <v>80</v>
      </c>
      <c r="C35" t="s">
        <v>81</v>
      </c>
      <c r="D35">
        <v>63</v>
      </c>
      <c r="E35" t="s">
        <v>28</v>
      </c>
      <c r="F35" t="s">
        <v>29</v>
      </c>
      <c r="G35" t="s">
        <v>30</v>
      </c>
      <c r="H35" t="s">
        <v>31</v>
      </c>
      <c r="I35">
        <v>1014</v>
      </c>
      <c r="J35" s="1">
        <v>29531</v>
      </c>
      <c r="K35" t="s">
        <v>48</v>
      </c>
      <c r="L35" t="s">
        <v>49</v>
      </c>
      <c r="M35">
        <v>38460</v>
      </c>
      <c r="N35">
        <v>0</v>
      </c>
      <c r="O35" t="s">
        <v>34</v>
      </c>
      <c r="P35">
        <v>0</v>
      </c>
      <c r="Q35">
        <v>20221227</v>
      </c>
      <c r="R35" s="1">
        <v>44922</v>
      </c>
      <c r="S35">
        <v>20221229</v>
      </c>
      <c r="T35" s="1">
        <v>44924</v>
      </c>
      <c r="U35" t="s">
        <v>109</v>
      </c>
      <c r="V35">
        <v>1</v>
      </c>
      <c r="W35">
        <v>4</v>
      </c>
      <c r="X35">
        <v>63</v>
      </c>
      <c r="Y35">
        <v>58</v>
      </c>
      <c r="Z35">
        <v>252</v>
      </c>
    </row>
    <row r="36" spans="1:26" x14ac:dyDescent="0.3">
      <c r="A36">
        <v>118</v>
      </c>
      <c r="B36" t="s">
        <v>80</v>
      </c>
      <c r="C36" t="s">
        <v>81</v>
      </c>
      <c r="D36">
        <v>63</v>
      </c>
      <c r="E36" t="s">
        <v>28</v>
      </c>
      <c r="F36" t="s">
        <v>29</v>
      </c>
      <c r="G36" t="s">
        <v>30</v>
      </c>
      <c r="H36" t="s">
        <v>31</v>
      </c>
      <c r="I36">
        <v>1007</v>
      </c>
      <c r="J36" s="1">
        <v>30201</v>
      </c>
      <c r="K36" t="s">
        <v>32</v>
      </c>
      <c r="L36" t="s">
        <v>49</v>
      </c>
      <c r="M36">
        <v>72282</v>
      </c>
      <c r="N36">
        <v>4</v>
      </c>
      <c r="O36" t="s">
        <v>34</v>
      </c>
      <c r="P36">
        <v>3</v>
      </c>
      <c r="Q36">
        <v>20250316</v>
      </c>
      <c r="R36" s="1">
        <v>45732</v>
      </c>
      <c r="S36">
        <v>20250317</v>
      </c>
      <c r="T36" s="1">
        <v>45733</v>
      </c>
      <c r="U36" t="s">
        <v>114</v>
      </c>
      <c r="V36">
        <v>1</v>
      </c>
      <c r="W36">
        <v>4</v>
      </c>
      <c r="X36">
        <v>63</v>
      </c>
      <c r="Y36">
        <v>51</v>
      </c>
      <c r="Z36">
        <v>252</v>
      </c>
    </row>
    <row r="37" spans="1:26" x14ac:dyDescent="0.3">
      <c r="A37">
        <v>118</v>
      </c>
      <c r="B37" t="s">
        <v>80</v>
      </c>
      <c r="C37" t="s">
        <v>81</v>
      </c>
      <c r="D37">
        <v>63</v>
      </c>
      <c r="E37" t="s">
        <v>28</v>
      </c>
      <c r="F37" t="s">
        <v>29</v>
      </c>
      <c r="G37" t="s">
        <v>30</v>
      </c>
      <c r="H37" t="s">
        <v>31</v>
      </c>
      <c r="I37">
        <v>1010</v>
      </c>
      <c r="J37" s="1">
        <v>25937</v>
      </c>
      <c r="K37" t="s">
        <v>32</v>
      </c>
      <c r="L37" t="s">
        <v>33</v>
      </c>
      <c r="M37">
        <v>68571</v>
      </c>
      <c r="N37">
        <v>0</v>
      </c>
      <c r="O37" t="s">
        <v>34</v>
      </c>
      <c r="P37">
        <v>1</v>
      </c>
      <c r="Q37">
        <v>20240420</v>
      </c>
      <c r="R37" s="1">
        <v>45402</v>
      </c>
      <c r="S37">
        <v>20240423</v>
      </c>
      <c r="T37" s="1">
        <v>45405</v>
      </c>
      <c r="U37" t="s">
        <v>130</v>
      </c>
      <c r="V37">
        <v>1</v>
      </c>
      <c r="W37">
        <v>1</v>
      </c>
      <c r="X37">
        <v>63</v>
      </c>
      <c r="Y37">
        <v>49</v>
      </c>
      <c r="Z37">
        <v>63</v>
      </c>
    </row>
    <row r="38" spans="1:26" x14ac:dyDescent="0.3">
      <c r="A38">
        <v>118</v>
      </c>
      <c r="B38" t="s">
        <v>80</v>
      </c>
      <c r="C38" t="s">
        <v>81</v>
      </c>
      <c r="D38">
        <v>63</v>
      </c>
      <c r="E38" t="s">
        <v>28</v>
      </c>
      <c r="F38" t="s">
        <v>29</v>
      </c>
      <c r="G38" t="s">
        <v>30</v>
      </c>
      <c r="H38" t="s">
        <v>31</v>
      </c>
      <c r="I38">
        <v>1030</v>
      </c>
      <c r="J38" s="1">
        <v>29588</v>
      </c>
      <c r="K38" t="s">
        <v>48</v>
      </c>
      <c r="L38" t="s">
        <v>49</v>
      </c>
      <c r="M38">
        <v>51346</v>
      </c>
      <c r="N38">
        <v>2</v>
      </c>
      <c r="O38" t="s">
        <v>34</v>
      </c>
      <c r="P38">
        <v>1</v>
      </c>
      <c r="Q38">
        <v>20220615</v>
      </c>
      <c r="R38" s="1">
        <v>44727</v>
      </c>
      <c r="S38">
        <v>20220617</v>
      </c>
      <c r="T38" s="1">
        <v>44729</v>
      </c>
      <c r="U38" t="s">
        <v>148</v>
      </c>
      <c r="V38">
        <v>1</v>
      </c>
      <c r="W38">
        <v>2</v>
      </c>
      <c r="X38">
        <v>63</v>
      </c>
      <c r="Y38">
        <v>52</v>
      </c>
      <c r="Z38">
        <v>126</v>
      </c>
    </row>
    <row r="39" spans="1:26" x14ac:dyDescent="0.3">
      <c r="A39">
        <v>118</v>
      </c>
      <c r="B39" t="s">
        <v>80</v>
      </c>
      <c r="C39" t="s">
        <v>81</v>
      </c>
      <c r="D39">
        <v>63</v>
      </c>
      <c r="E39" t="s">
        <v>28</v>
      </c>
      <c r="F39" t="s">
        <v>29</v>
      </c>
      <c r="G39" t="s">
        <v>30</v>
      </c>
      <c r="H39" t="s">
        <v>31</v>
      </c>
      <c r="I39">
        <v>1016</v>
      </c>
      <c r="J39" s="1">
        <v>33863</v>
      </c>
      <c r="K39" t="s">
        <v>48</v>
      </c>
      <c r="L39" t="s">
        <v>49</v>
      </c>
      <c r="M39">
        <v>50603</v>
      </c>
      <c r="N39">
        <v>1</v>
      </c>
      <c r="O39" t="s">
        <v>55</v>
      </c>
      <c r="P39">
        <v>0</v>
      </c>
      <c r="Q39">
        <v>20220501</v>
      </c>
      <c r="R39" s="1">
        <v>44682</v>
      </c>
      <c r="S39">
        <v>20220503</v>
      </c>
      <c r="T39" s="1">
        <v>44684</v>
      </c>
      <c r="U39" t="s">
        <v>151</v>
      </c>
      <c r="V39">
        <v>1</v>
      </c>
      <c r="W39">
        <v>5</v>
      </c>
      <c r="X39">
        <v>63</v>
      </c>
      <c r="Y39">
        <v>56</v>
      </c>
      <c r="Z39">
        <v>315</v>
      </c>
    </row>
    <row r="40" spans="1:26" x14ac:dyDescent="0.3">
      <c r="A40">
        <v>118</v>
      </c>
      <c r="B40" t="s">
        <v>80</v>
      </c>
      <c r="C40" t="s">
        <v>81</v>
      </c>
      <c r="D40">
        <v>63</v>
      </c>
      <c r="E40" t="s">
        <v>28</v>
      </c>
      <c r="F40" t="s">
        <v>29</v>
      </c>
      <c r="G40" t="s">
        <v>30</v>
      </c>
      <c r="H40" t="s">
        <v>31</v>
      </c>
      <c r="I40">
        <v>1016</v>
      </c>
      <c r="J40" s="1">
        <v>33863</v>
      </c>
      <c r="K40" t="s">
        <v>48</v>
      </c>
      <c r="L40" t="s">
        <v>49</v>
      </c>
      <c r="M40">
        <v>50603</v>
      </c>
      <c r="N40">
        <v>1</v>
      </c>
      <c r="O40" t="s">
        <v>55</v>
      </c>
      <c r="P40">
        <v>0</v>
      </c>
      <c r="Q40">
        <v>20250130</v>
      </c>
      <c r="R40" s="1">
        <v>45687</v>
      </c>
      <c r="S40">
        <v>20250131</v>
      </c>
      <c r="T40" s="1">
        <v>45688</v>
      </c>
      <c r="U40" t="s">
        <v>152</v>
      </c>
      <c r="V40">
        <v>1</v>
      </c>
      <c r="W40">
        <v>5</v>
      </c>
      <c r="X40">
        <v>63</v>
      </c>
      <c r="Y40">
        <v>48</v>
      </c>
      <c r="Z40">
        <v>315</v>
      </c>
    </row>
    <row r="41" spans="1:26" x14ac:dyDescent="0.3">
      <c r="A41">
        <v>118</v>
      </c>
      <c r="B41" t="s">
        <v>80</v>
      </c>
      <c r="C41" t="s">
        <v>81</v>
      </c>
      <c r="D41">
        <v>63</v>
      </c>
      <c r="E41" t="s">
        <v>28</v>
      </c>
      <c r="F41" t="s">
        <v>29</v>
      </c>
      <c r="G41" t="s">
        <v>30</v>
      </c>
      <c r="H41" t="s">
        <v>31</v>
      </c>
      <c r="I41">
        <v>1002</v>
      </c>
      <c r="J41" s="1">
        <v>32675</v>
      </c>
      <c r="K41" t="s">
        <v>48</v>
      </c>
      <c r="L41" t="s">
        <v>49</v>
      </c>
      <c r="M41">
        <v>64715</v>
      </c>
      <c r="N41">
        <v>1</v>
      </c>
      <c r="O41" t="s">
        <v>55</v>
      </c>
      <c r="P41">
        <v>1</v>
      </c>
      <c r="Q41">
        <v>20221212</v>
      </c>
      <c r="R41" s="1">
        <v>44907</v>
      </c>
      <c r="S41">
        <v>20221215</v>
      </c>
      <c r="T41" s="1">
        <v>44910</v>
      </c>
      <c r="U41" t="s">
        <v>159</v>
      </c>
      <c r="V41">
        <v>1</v>
      </c>
      <c r="W41">
        <v>5</v>
      </c>
      <c r="X41">
        <v>63</v>
      </c>
      <c r="Y41">
        <v>57</v>
      </c>
      <c r="Z41">
        <v>315</v>
      </c>
    </row>
    <row r="42" spans="1:26" x14ac:dyDescent="0.3">
      <c r="A42">
        <v>118</v>
      </c>
      <c r="B42" t="s">
        <v>80</v>
      </c>
      <c r="C42" t="s">
        <v>81</v>
      </c>
      <c r="D42">
        <v>63</v>
      </c>
      <c r="E42" t="s">
        <v>28</v>
      </c>
      <c r="F42" t="s">
        <v>29</v>
      </c>
      <c r="G42" t="s">
        <v>30</v>
      </c>
      <c r="H42" t="s">
        <v>31</v>
      </c>
      <c r="I42">
        <v>1030</v>
      </c>
      <c r="J42" s="1">
        <v>29588</v>
      </c>
      <c r="K42" t="s">
        <v>48</v>
      </c>
      <c r="L42" t="s">
        <v>49</v>
      </c>
      <c r="M42">
        <v>51346</v>
      </c>
      <c r="N42">
        <v>2</v>
      </c>
      <c r="O42" t="s">
        <v>34</v>
      </c>
      <c r="P42">
        <v>1</v>
      </c>
      <c r="Q42">
        <v>20240803</v>
      </c>
      <c r="R42" s="1">
        <v>45507</v>
      </c>
      <c r="S42">
        <v>20240805</v>
      </c>
      <c r="T42" s="1">
        <v>45509</v>
      </c>
      <c r="U42" t="s">
        <v>164</v>
      </c>
      <c r="V42">
        <v>1</v>
      </c>
      <c r="W42">
        <v>1</v>
      </c>
      <c r="X42">
        <v>63</v>
      </c>
      <c r="Y42">
        <v>52</v>
      </c>
      <c r="Z42">
        <v>63</v>
      </c>
    </row>
    <row r="43" spans="1:26" x14ac:dyDescent="0.3">
      <c r="A43">
        <v>119</v>
      </c>
      <c r="B43" t="s">
        <v>51</v>
      </c>
      <c r="C43" t="s">
        <v>52</v>
      </c>
      <c r="D43">
        <v>282</v>
      </c>
      <c r="E43" t="s">
        <v>53</v>
      </c>
      <c r="F43" t="s">
        <v>39</v>
      </c>
      <c r="G43" t="s">
        <v>46</v>
      </c>
      <c r="H43" t="s">
        <v>54</v>
      </c>
      <c r="I43">
        <v>1002</v>
      </c>
      <c r="J43" s="1">
        <v>32675</v>
      </c>
      <c r="K43" t="s">
        <v>48</v>
      </c>
      <c r="L43" t="s">
        <v>49</v>
      </c>
      <c r="M43">
        <v>64715</v>
      </c>
      <c r="N43">
        <v>1</v>
      </c>
      <c r="O43" t="s">
        <v>55</v>
      </c>
      <c r="P43">
        <v>1</v>
      </c>
      <c r="Q43">
        <v>20231207</v>
      </c>
      <c r="R43" s="1">
        <v>45267</v>
      </c>
      <c r="S43">
        <v>20231210</v>
      </c>
      <c r="T43" s="1">
        <v>45270</v>
      </c>
      <c r="U43" t="s">
        <v>56</v>
      </c>
      <c r="V43">
        <v>1</v>
      </c>
      <c r="W43">
        <v>5</v>
      </c>
      <c r="X43">
        <v>282</v>
      </c>
      <c r="Y43">
        <v>273</v>
      </c>
      <c r="Z43">
        <v>1410</v>
      </c>
    </row>
    <row r="44" spans="1:26" x14ac:dyDescent="0.3">
      <c r="A44">
        <v>119</v>
      </c>
      <c r="B44" t="s">
        <v>51</v>
      </c>
      <c r="C44" t="s">
        <v>52</v>
      </c>
      <c r="D44">
        <v>282</v>
      </c>
      <c r="E44" t="s">
        <v>53</v>
      </c>
      <c r="F44" t="s">
        <v>39</v>
      </c>
      <c r="G44" t="s">
        <v>46</v>
      </c>
      <c r="H44" t="s">
        <v>54</v>
      </c>
      <c r="I44">
        <v>1043</v>
      </c>
      <c r="J44" s="1">
        <v>27266</v>
      </c>
      <c r="K44" t="s">
        <v>48</v>
      </c>
      <c r="L44" t="s">
        <v>49</v>
      </c>
      <c r="M44">
        <v>25072</v>
      </c>
      <c r="N44">
        <v>1</v>
      </c>
      <c r="O44" t="s">
        <v>34</v>
      </c>
      <c r="P44">
        <v>2</v>
      </c>
      <c r="Q44">
        <v>20240619</v>
      </c>
      <c r="R44" s="1">
        <v>45462</v>
      </c>
      <c r="S44">
        <v>20240621</v>
      </c>
      <c r="T44" s="1">
        <v>45464</v>
      </c>
      <c r="U44" t="s">
        <v>64</v>
      </c>
      <c r="V44">
        <v>1</v>
      </c>
      <c r="W44">
        <v>2</v>
      </c>
      <c r="X44">
        <v>282</v>
      </c>
      <c r="Y44">
        <v>270</v>
      </c>
      <c r="Z44">
        <v>564</v>
      </c>
    </row>
    <row r="45" spans="1:26" x14ac:dyDescent="0.3">
      <c r="A45">
        <v>119</v>
      </c>
      <c r="B45" t="s">
        <v>51</v>
      </c>
      <c r="C45" t="s">
        <v>52</v>
      </c>
      <c r="D45">
        <v>282</v>
      </c>
      <c r="E45" t="s">
        <v>53</v>
      </c>
      <c r="F45" t="s">
        <v>39</v>
      </c>
      <c r="G45" t="s">
        <v>46</v>
      </c>
      <c r="H45" t="s">
        <v>54</v>
      </c>
      <c r="I45">
        <v>1014</v>
      </c>
      <c r="J45" s="1">
        <v>29531</v>
      </c>
      <c r="K45" t="s">
        <v>48</v>
      </c>
      <c r="L45" t="s">
        <v>49</v>
      </c>
      <c r="M45">
        <v>38460</v>
      </c>
      <c r="N45">
        <v>0</v>
      </c>
      <c r="O45" t="s">
        <v>34</v>
      </c>
      <c r="P45">
        <v>0</v>
      </c>
      <c r="Q45">
        <v>20220317</v>
      </c>
      <c r="R45" s="1">
        <v>44637</v>
      </c>
      <c r="S45">
        <v>20220320</v>
      </c>
      <c r="T45" s="1">
        <v>44640</v>
      </c>
      <c r="U45" t="s">
        <v>65</v>
      </c>
      <c r="V45">
        <v>1</v>
      </c>
      <c r="W45">
        <v>1</v>
      </c>
      <c r="X45">
        <v>282</v>
      </c>
      <c r="Y45">
        <v>267</v>
      </c>
      <c r="Z45">
        <v>282</v>
      </c>
    </row>
    <row r="46" spans="1:26" x14ac:dyDescent="0.3">
      <c r="A46">
        <v>119</v>
      </c>
      <c r="B46" t="s">
        <v>51</v>
      </c>
      <c r="C46" t="s">
        <v>52</v>
      </c>
      <c r="D46">
        <v>282</v>
      </c>
      <c r="E46" t="s">
        <v>53</v>
      </c>
      <c r="F46" t="s">
        <v>39</v>
      </c>
      <c r="G46" t="s">
        <v>46</v>
      </c>
      <c r="H46" t="s">
        <v>54</v>
      </c>
      <c r="I46">
        <v>1030</v>
      </c>
      <c r="J46" s="1">
        <v>29588</v>
      </c>
      <c r="K46" t="s">
        <v>48</v>
      </c>
      <c r="L46" t="s">
        <v>49</v>
      </c>
      <c r="M46">
        <v>51346</v>
      </c>
      <c r="N46">
        <v>2</v>
      </c>
      <c r="O46" t="s">
        <v>34</v>
      </c>
      <c r="P46">
        <v>1</v>
      </c>
      <c r="Q46">
        <v>20250430</v>
      </c>
      <c r="R46" s="1">
        <v>45777</v>
      </c>
      <c r="S46">
        <v>20250503</v>
      </c>
      <c r="T46" s="1">
        <v>45780</v>
      </c>
      <c r="U46" t="s">
        <v>76</v>
      </c>
      <c r="V46">
        <v>1</v>
      </c>
      <c r="W46">
        <v>3</v>
      </c>
      <c r="X46">
        <v>282</v>
      </c>
      <c r="Y46">
        <v>269</v>
      </c>
      <c r="Z46">
        <v>846</v>
      </c>
    </row>
    <row r="47" spans="1:26" x14ac:dyDescent="0.3">
      <c r="A47">
        <v>119</v>
      </c>
      <c r="B47" t="s">
        <v>51</v>
      </c>
      <c r="C47" t="s">
        <v>52</v>
      </c>
      <c r="D47">
        <v>282</v>
      </c>
      <c r="E47" t="s">
        <v>53</v>
      </c>
      <c r="F47" t="s">
        <v>39</v>
      </c>
      <c r="G47" t="s">
        <v>46</v>
      </c>
      <c r="H47" t="s">
        <v>54</v>
      </c>
      <c r="I47">
        <v>1049</v>
      </c>
      <c r="J47" s="1">
        <v>31447</v>
      </c>
      <c r="K47" t="s">
        <v>48</v>
      </c>
      <c r="L47" t="s">
        <v>33</v>
      </c>
      <c r="M47">
        <v>37462</v>
      </c>
      <c r="N47">
        <v>2</v>
      </c>
      <c r="O47" t="s">
        <v>34</v>
      </c>
      <c r="P47">
        <v>0</v>
      </c>
      <c r="Q47">
        <v>20220630</v>
      </c>
      <c r="R47" s="1">
        <v>44742</v>
      </c>
      <c r="S47">
        <v>20220703</v>
      </c>
      <c r="T47" s="1">
        <v>44745</v>
      </c>
      <c r="U47" t="s">
        <v>92</v>
      </c>
      <c r="V47">
        <v>1</v>
      </c>
      <c r="W47">
        <v>1</v>
      </c>
      <c r="X47">
        <v>282</v>
      </c>
      <c r="Y47">
        <v>269</v>
      </c>
      <c r="Z47">
        <v>282</v>
      </c>
    </row>
    <row r="48" spans="1:26" x14ac:dyDescent="0.3">
      <c r="A48">
        <v>119</v>
      </c>
      <c r="B48" t="s">
        <v>51</v>
      </c>
      <c r="C48" t="s">
        <v>52</v>
      </c>
      <c r="D48">
        <v>282</v>
      </c>
      <c r="E48" t="s">
        <v>53</v>
      </c>
      <c r="F48" t="s">
        <v>39</v>
      </c>
      <c r="G48" t="s">
        <v>46</v>
      </c>
      <c r="H48" t="s">
        <v>54</v>
      </c>
      <c r="I48">
        <v>1022</v>
      </c>
      <c r="J48" s="1">
        <v>26303</v>
      </c>
      <c r="K48" t="s">
        <v>48</v>
      </c>
      <c r="L48" t="s">
        <v>33</v>
      </c>
      <c r="M48">
        <v>52944</v>
      </c>
      <c r="N48">
        <v>3</v>
      </c>
      <c r="O48" t="s">
        <v>34</v>
      </c>
      <c r="P48">
        <v>1</v>
      </c>
      <c r="Q48">
        <v>20221227</v>
      </c>
      <c r="R48" s="1">
        <v>44922</v>
      </c>
      <c r="S48">
        <v>20221228</v>
      </c>
      <c r="T48" s="1">
        <v>44923</v>
      </c>
      <c r="U48" t="s">
        <v>108</v>
      </c>
      <c r="V48">
        <v>1</v>
      </c>
      <c r="W48">
        <v>5</v>
      </c>
      <c r="X48">
        <v>282</v>
      </c>
      <c r="Y48">
        <v>273</v>
      </c>
      <c r="Z48">
        <v>1410</v>
      </c>
    </row>
    <row r="49" spans="1:26" x14ac:dyDescent="0.3">
      <c r="A49">
        <v>119</v>
      </c>
      <c r="B49" t="s">
        <v>51</v>
      </c>
      <c r="C49" t="s">
        <v>52</v>
      </c>
      <c r="D49">
        <v>282</v>
      </c>
      <c r="E49" t="s">
        <v>53</v>
      </c>
      <c r="F49" t="s">
        <v>39</v>
      </c>
      <c r="G49" t="s">
        <v>46</v>
      </c>
      <c r="H49" t="s">
        <v>54</v>
      </c>
      <c r="I49">
        <v>1018</v>
      </c>
      <c r="J49" s="1">
        <v>25834</v>
      </c>
      <c r="K49" t="s">
        <v>48</v>
      </c>
      <c r="L49" t="s">
        <v>33</v>
      </c>
      <c r="M49">
        <v>49779</v>
      </c>
      <c r="N49">
        <v>2</v>
      </c>
      <c r="O49" t="s">
        <v>55</v>
      </c>
      <c r="P49">
        <v>0</v>
      </c>
      <c r="Q49">
        <v>20250912</v>
      </c>
      <c r="R49" s="1">
        <v>45912</v>
      </c>
      <c r="S49">
        <v>20250915</v>
      </c>
      <c r="T49" s="1">
        <v>45915</v>
      </c>
      <c r="U49" t="s">
        <v>110</v>
      </c>
      <c r="V49">
        <v>1</v>
      </c>
      <c r="W49">
        <v>4</v>
      </c>
      <c r="X49">
        <v>282</v>
      </c>
      <c r="Y49">
        <v>267</v>
      </c>
      <c r="Z49">
        <v>1128</v>
      </c>
    </row>
    <row r="50" spans="1:26" x14ac:dyDescent="0.3">
      <c r="A50">
        <v>119</v>
      </c>
      <c r="B50" t="s">
        <v>51</v>
      </c>
      <c r="C50" t="s">
        <v>52</v>
      </c>
      <c r="D50">
        <v>282</v>
      </c>
      <c r="E50" t="s">
        <v>53</v>
      </c>
      <c r="F50" t="s">
        <v>39</v>
      </c>
      <c r="G50" t="s">
        <v>46</v>
      </c>
      <c r="H50" t="s">
        <v>54</v>
      </c>
      <c r="I50">
        <v>1007</v>
      </c>
      <c r="J50" s="1">
        <v>30201</v>
      </c>
      <c r="K50" t="s">
        <v>32</v>
      </c>
      <c r="L50" t="s">
        <v>49</v>
      </c>
      <c r="M50">
        <v>72282</v>
      </c>
      <c r="N50">
        <v>4</v>
      </c>
      <c r="O50" t="s">
        <v>34</v>
      </c>
      <c r="P50">
        <v>3</v>
      </c>
      <c r="Q50">
        <v>20240604</v>
      </c>
      <c r="R50" s="1">
        <v>45447</v>
      </c>
      <c r="S50">
        <v>20240605</v>
      </c>
      <c r="T50" s="1">
        <v>45448</v>
      </c>
      <c r="U50" t="s">
        <v>116</v>
      </c>
      <c r="V50">
        <v>1</v>
      </c>
      <c r="W50">
        <v>5</v>
      </c>
      <c r="X50">
        <v>282</v>
      </c>
      <c r="Y50">
        <v>277</v>
      </c>
      <c r="Z50">
        <v>1410</v>
      </c>
    </row>
    <row r="51" spans="1:26" x14ac:dyDescent="0.3">
      <c r="A51">
        <v>119</v>
      </c>
      <c r="B51" t="s">
        <v>51</v>
      </c>
      <c r="C51" t="s">
        <v>52</v>
      </c>
      <c r="D51">
        <v>282</v>
      </c>
      <c r="E51" t="s">
        <v>53</v>
      </c>
      <c r="F51" t="s">
        <v>39</v>
      </c>
      <c r="G51" t="s">
        <v>46</v>
      </c>
      <c r="H51" t="s">
        <v>54</v>
      </c>
      <c r="I51">
        <v>1002</v>
      </c>
      <c r="J51" s="1">
        <v>32675</v>
      </c>
      <c r="K51" t="s">
        <v>48</v>
      </c>
      <c r="L51" t="s">
        <v>49</v>
      </c>
      <c r="M51">
        <v>64715</v>
      </c>
      <c r="N51">
        <v>1</v>
      </c>
      <c r="O51" t="s">
        <v>55</v>
      </c>
      <c r="P51">
        <v>1</v>
      </c>
      <c r="Q51">
        <v>20241101</v>
      </c>
      <c r="R51" s="1">
        <v>45597</v>
      </c>
      <c r="S51">
        <v>20241104</v>
      </c>
      <c r="T51" s="1">
        <v>45600</v>
      </c>
      <c r="U51" t="s">
        <v>119</v>
      </c>
      <c r="V51">
        <v>1</v>
      </c>
      <c r="W51">
        <v>5</v>
      </c>
      <c r="X51">
        <v>282</v>
      </c>
      <c r="Y51">
        <v>274</v>
      </c>
      <c r="Z51">
        <v>1410</v>
      </c>
    </row>
    <row r="52" spans="1:26" x14ac:dyDescent="0.3">
      <c r="A52">
        <v>119</v>
      </c>
      <c r="B52" t="s">
        <v>51</v>
      </c>
      <c r="C52" t="s">
        <v>52</v>
      </c>
      <c r="D52">
        <v>282</v>
      </c>
      <c r="E52" t="s">
        <v>53</v>
      </c>
      <c r="F52" t="s">
        <v>39</v>
      </c>
      <c r="G52" t="s">
        <v>46</v>
      </c>
      <c r="H52" t="s">
        <v>54</v>
      </c>
      <c r="I52">
        <v>1018</v>
      </c>
      <c r="J52" s="1">
        <v>25834</v>
      </c>
      <c r="K52" t="s">
        <v>48</v>
      </c>
      <c r="L52" t="s">
        <v>33</v>
      </c>
      <c r="M52">
        <v>49779</v>
      </c>
      <c r="N52">
        <v>2</v>
      </c>
      <c r="O52" t="s">
        <v>55</v>
      </c>
      <c r="P52">
        <v>0</v>
      </c>
      <c r="Q52">
        <v>20220630</v>
      </c>
      <c r="R52" s="1">
        <v>44742</v>
      </c>
      <c r="S52">
        <v>20220702</v>
      </c>
      <c r="T52" s="1">
        <v>44744</v>
      </c>
      <c r="U52" t="s">
        <v>121</v>
      </c>
      <c r="V52">
        <v>1</v>
      </c>
      <c r="W52">
        <v>2</v>
      </c>
      <c r="X52">
        <v>282</v>
      </c>
      <c r="Y52">
        <v>268</v>
      </c>
      <c r="Z52">
        <v>564</v>
      </c>
    </row>
    <row r="53" spans="1:26" x14ac:dyDescent="0.3">
      <c r="A53">
        <v>119</v>
      </c>
      <c r="B53" t="s">
        <v>51</v>
      </c>
      <c r="C53" t="s">
        <v>52</v>
      </c>
      <c r="D53">
        <v>282</v>
      </c>
      <c r="E53" t="s">
        <v>53</v>
      </c>
      <c r="F53" t="s">
        <v>39</v>
      </c>
      <c r="G53" t="s">
        <v>46</v>
      </c>
      <c r="H53" t="s">
        <v>54</v>
      </c>
      <c r="I53">
        <v>1043</v>
      </c>
      <c r="J53" s="1">
        <v>27266</v>
      </c>
      <c r="K53" t="s">
        <v>48</v>
      </c>
      <c r="L53" t="s">
        <v>49</v>
      </c>
      <c r="M53">
        <v>25072</v>
      </c>
      <c r="N53">
        <v>1</v>
      </c>
      <c r="O53" t="s">
        <v>34</v>
      </c>
      <c r="P53">
        <v>2</v>
      </c>
      <c r="Q53">
        <v>20220630</v>
      </c>
      <c r="R53" s="1">
        <v>44742</v>
      </c>
      <c r="S53">
        <v>20220701</v>
      </c>
      <c r="T53" s="1">
        <v>44743</v>
      </c>
      <c r="U53" t="s">
        <v>126</v>
      </c>
      <c r="V53">
        <v>1</v>
      </c>
      <c r="W53">
        <v>4</v>
      </c>
      <c r="X53">
        <v>282</v>
      </c>
      <c r="Y53">
        <v>267</v>
      </c>
      <c r="Z53">
        <v>1128</v>
      </c>
    </row>
    <row r="54" spans="1:26" x14ac:dyDescent="0.3">
      <c r="A54">
        <v>119</v>
      </c>
      <c r="B54" t="s">
        <v>51</v>
      </c>
      <c r="C54" t="s">
        <v>52</v>
      </c>
      <c r="D54">
        <v>282</v>
      </c>
      <c r="E54" t="s">
        <v>53</v>
      </c>
      <c r="F54" t="s">
        <v>39</v>
      </c>
      <c r="G54" t="s">
        <v>46</v>
      </c>
      <c r="H54" t="s">
        <v>54</v>
      </c>
      <c r="I54">
        <v>1007</v>
      </c>
      <c r="J54" s="1">
        <v>30201</v>
      </c>
      <c r="K54" t="s">
        <v>32</v>
      </c>
      <c r="L54" t="s">
        <v>49</v>
      </c>
      <c r="M54">
        <v>72282</v>
      </c>
      <c r="N54">
        <v>4</v>
      </c>
      <c r="O54" t="s">
        <v>34</v>
      </c>
      <c r="P54">
        <v>3</v>
      </c>
      <c r="Q54">
        <v>20230210</v>
      </c>
      <c r="R54" s="1">
        <v>44967</v>
      </c>
      <c r="S54">
        <v>20230213</v>
      </c>
      <c r="T54" s="1">
        <v>44970</v>
      </c>
      <c r="U54" t="s">
        <v>128</v>
      </c>
      <c r="V54">
        <v>1</v>
      </c>
      <c r="W54">
        <v>5</v>
      </c>
      <c r="X54">
        <v>282</v>
      </c>
      <c r="Y54">
        <v>268</v>
      </c>
      <c r="Z54">
        <v>1410</v>
      </c>
    </row>
    <row r="55" spans="1:26" x14ac:dyDescent="0.3">
      <c r="A55">
        <v>119</v>
      </c>
      <c r="B55" t="s">
        <v>51</v>
      </c>
      <c r="C55" t="s">
        <v>52</v>
      </c>
      <c r="D55">
        <v>282</v>
      </c>
      <c r="E55" t="s">
        <v>53</v>
      </c>
      <c r="F55" t="s">
        <v>39</v>
      </c>
      <c r="G55" t="s">
        <v>46</v>
      </c>
      <c r="H55" t="s">
        <v>54</v>
      </c>
      <c r="I55">
        <v>1043</v>
      </c>
      <c r="J55" s="1">
        <v>27266</v>
      </c>
      <c r="K55" t="s">
        <v>48</v>
      </c>
      <c r="L55" t="s">
        <v>49</v>
      </c>
      <c r="M55">
        <v>25072</v>
      </c>
      <c r="N55">
        <v>1</v>
      </c>
      <c r="O55" t="s">
        <v>34</v>
      </c>
      <c r="P55">
        <v>2</v>
      </c>
      <c r="Q55">
        <v>20250629</v>
      </c>
      <c r="R55" s="1">
        <v>45837</v>
      </c>
      <c r="S55">
        <v>20250701</v>
      </c>
      <c r="T55" s="1">
        <v>45839</v>
      </c>
      <c r="U55" t="s">
        <v>133</v>
      </c>
      <c r="V55">
        <v>1</v>
      </c>
      <c r="W55">
        <v>1</v>
      </c>
      <c r="X55">
        <v>282</v>
      </c>
      <c r="Y55">
        <v>275</v>
      </c>
      <c r="Z55">
        <v>282</v>
      </c>
    </row>
    <row r="56" spans="1:26" x14ac:dyDescent="0.3">
      <c r="A56">
        <v>119</v>
      </c>
      <c r="B56" t="s">
        <v>51</v>
      </c>
      <c r="C56" t="s">
        <v>52</v>
      </c>
      <c r="D56">
        <v>282</v>
      </c>
      <c r="E56" t="s">
        <v>53</v>
      </c>
      <c r="F56" t="s">
        <v>39</v>
      </c>
      <c r="G56" t="s">
        <v>46</v>
      </c>
      <c r="H56" t="s">
        <v>54</v>
      </c>
      <c r="I56">
        <v>1010</v>
      </c>
      <c r="J56" s="1">
        <v>25937</v>
      </c>
      <c r="K56" t="s">
        <v>32</v>
      </c>
      <c r="L56" t="s">
        <v>33</v>
      </c>
      <c r="M56">
        <v>68571</v>
      </c>
      <c r="N56">
        <v>0</v>
      </c>
      <c r="O56" t="s">
        <v>34</v>
      </c>
      <c r="P56">
        <v>1</v>
      </c>
      <c r="Q56">
        <v>20250331</v>
      </c>
      <c r="R56" s="1">
        <v>45747</v>
      </c>
      <c r="S56">
        <v>20250403</v>
      </c>
      <c r="T56" s="1">
        <v>45750</v>
      </c>
      <c r="U56" t="s">
        <v>134</v>
      </c>
      <c r="V56">
        <v>1</v>
      </c>
      <c r="W56">
        <v>3</v>
      </c>
      <c r="X56">
        <v>282</v>
      </c>
      <c r="Y56">
        <v>271</v>
      </c>
      <c r="Z56">
        <v>846</v>
      </c>
    </row>
    <row r="57" spans="1:26" x14ac:dyDescent="0.3">
      <c r="A57">
        <v>119</v>
      </c>
      <c r="B57" t="s">
        <v>51</v>
      </c>
      <c r="C57" t="s">
        <v>52</v>
      </c>
      <c r="D57">
        <v>282</v>
      </c>
      <c r="E57" t="s">
        <v>53</v>
      </c>
      <c r="F57" t="s">
        <v>39</v>
      </c>
      <c r="G57" t="s">
        <v>46</v>
      </c>
      <c r="H57" t="s">
        <v>54</v>
      </c>
      <c r="I57">
        <v>1014</v>
      </c>
      <c r="J57" s="1">
        <v>29531</v>
      </c>
      <c r="K57" t="s">
        <v>48</v>
      </c>
      <c r="L57" t="s">
        <v>49</v>
      </c>
      <c r="M57">
        <v>38460</v>
      </c>
      <c r="N57">
        <v>0</v>
      </c>
      <c r="O57" t="s">
        <v>34</v>
      </c>
      <c r="P57">
        <v>0</v>
      </c>
      <c r="Q57">
        <v>20250530</v>
      </c>
      <c r="R57" s="1">
        <v>45807</v>
      </c>
      <c r="S57">
        <v>20250602</v>
      </c>
      <c r="T57" s="1">
        <v>45810</v>
      </c>
      <c r="U57" t="s">
        <v>138</v>
      </c>
      <c r="V57">
        <v>1</v>
      </c>
      <c r="W57">
        <v>2</v>
      </c>
      <c r="X57">
        <v>282</v>
      </c>
      <c r="Y57">
        <v>272</v>
      </c>
      <c r="Z57">
        <v>564</v>
      </c>
    </row>
    <row r="58" spans="1:26" x14ac:dyDescent="0.3">
      <c r="A58">
        <v>119</v>
      </c>
      <c r="B58" t="s">
        <v>51</v>
      </c>
      <c r="C58" t="s">
        <v>52</v>
      </c>
      <c r="D58">
        <v>282</v>
      </c>
      <c r="E58" t="s">
        <v>53</v>
      </c>
      <c r="F58" t="s">
        <v>39</v>
      </c>
      <c r="G58" t="s">
        <v>46</v>
      </c>
      <c r="H58" t="s">
        <v>54</v>
      </c>
      <c r="I58">
        <v>1030</v>
      </c>
      <c r="J58" s="1">
        <v>29588</v>
      </c>
      <c r="K58" t="s">
        <v>48</v>
      </c>
      <c r="L58" t="s">
        <v>49</v>
      </c>
      <c r="M58">
        <v>51346</v>
      </c>
      <c r="N58">
        <v>2</v>
      </c>
      <c r="O58" t="s">
        <v>34</v>
      </c>
      <c r="P58">
        <v>1</v>
      </c>
      <c r="Q58">
        <v>20230225</v>
      </c>
      <c r="R58" s="1">
        <v>44982</v>
      </c>
      <c r="S58">
        <v>20230228</v>
      </c>
      <c r="T58" s="1">
        <v>44985</v>
      </c>
      <c r="U58" t="s">
        <v>141</v>
      </c>
      <c r="V58">
        <v>1</v>
      </c>
      <c r="W58">
        <v>3</v>
      </c>
      <c r="X58">
        <v>282</v>
      </c>
      <c r="Y58">
        <v>276</v>
      </c>
      <c r="Z58">
        <v>846</v>
      </c>
    </row>
    <row r="59" spans="1:26" x14ac:dyDescent="0.3">
      <c r="A59">
        <v>119</v>
      </c>
      <c r="B59" t="s">
        <v>51</v>
      </c>
      <c r="C59" t="s">
        <v>52</v>
      </c>
      <c r="D59">
        <v>282</v>
      </c>
      <c r="E59" t="s">
        <v>53</v>
      </c>
      <c r="F59" t="s">
        <v>39</v>
      </c>
      <c r="G59" t="s">
        <v>46</v>
      </c>
      <c r="H59" t="s">
        <v>54</v>
      </c>
      <c r="I59">
        <v>1022</v>
      </c>
      <c r="J59" s="1">
        <v>26303</v>
      </c>
      <c r="K59" t="s">
        <v>48</v>
      </c>
      <c r="L59" t="s">
        <v>33</v>
      </c>
      <c r="M59">
        <v>52944</v>
      </c>
      <c r="N59">
        <v>3</v>
      </c>
      <c r="O59" t="s">
        <v>34</v>
      </c>
      <c r="P59">
        <v>1</v>
      </c>
      <c r="Q59">
        <v>20240306</v>
      </c>
      <c r="R59" s="1">
        <v>45357</v>
      </c>
      <c r="S59">
        <v>20240308</v>
      </c>
      <c r="T59" s="1">
        <v>45359</v>
      </c>
      <c r="U59" t="s">
        <v>150</v>
      </c>
      <c r="V59">
        <v>1</v>
      </c>
      <c r="W59">
        <v>4</v>
      </c>
      <c r="X59">
        <v>282</v>
      </c>
      <c r="Y59">
        <v>267</v>
      </c>
      <c r="Z59">
        <v>1128</v>
      </c>
    </row>
    <row r="60" spans="1:26" x14ac:dyDescent="0.3">
      <c r="A60">
        <v>119</v>
      </c>
      <c r="B60" t="s">
        <v>51</v>
      </c>
      <c r="C60" t="s">
        <v>52</v>
      </c>
      <c r="D60">
        <v>282</v>
      </c>
      <c r="E60" t="s">
        <v>53</v>
      </c>
      <c r="F60" t="s">
        <v>39</v>
      </c>
      <c r="G60" t="s">
        <v>46</v>
      </c>
      <c r="H60" t="s">
        <v>54</v>
      </c>
      <c r="I60">
        <v>1007</v>
      </c>
      <c r="J60" s="1">
        <v>30201</v>
      </c>
      <c r="K60" t="s">
        <v>32</v>
      </c>
      <c r="L60" t="s">
        <v>49</v>
      </c>
      <c r="M60">
        <v>72282</v>
      </c>
      <c r="N60">
        <v>4</v>
      </c>
      <c r="O60" t="s">
        <v>34</v>
      </c>
      <c r="P60">
        <v>3</v>
      </c>
      <c r="Q60">
        <v>20241017</v>
      </c>
      <c r="R60" s="1">
        <v>45582</v>
      </c>
      <c r="S60">
        <v>20241019</v>
      </c>
      <c r="T60" s="1">
        <v>45584</v>
      </c>
      <c r="U60" t="s">
        <v>155</v>
      </c>
      <c r="V60">
        <v>1</v>
      </c>
      <c r="W60">
        <v>4</v>
      </c>
      <c r="X60">
        <v>282</v>
      </c>
      <c r="Y60">
        <v>275</v>
      </c>
      <c r="Z60">
        <v>1128</v>
      </c>
    </row>
    <row r="61" spans="1:26" x14ac:dyDescent="0.3">
      <c r="A61">
        <v>119</v>
      </c>
      <c r="B61" t="s">
        <v>51</v>
      </c>
      <c r="C61" t="s">
        <v>52</v>
      </c>
      <c r="D61">
        <v>282</v>
      </c>
      <c r="E61" t="s">
        <v>53</v>
      </c>
      <c r="F61" t="s">
        <v>39</v>
      </c>
      <c r="G61" t="s">
        <v>46</v>
      </c>
      <c r="H61" t="s">
        <v>54</v>
      </c>
      <c r="I61">
        <v>1018</v>
      </c>
      <c r="J61" s="1">
        <v>25834</v>
      </c>
      <c r="K61" t="s">
        <v>48</v>
      </c>
      <c r="L61" t="s">
        <v>33</v>
      </c>
      <c r="M61">
        <v>49779</v>
      </c>
      <c r="N61">
        <v>2</v>
      </c>
      <c r="O61" t="s">
        <v>55</v>
      </c>
      <c r="P61">
        <v>0</v>
      </c>
      <c r="Q61">
        <v>20241201</v>
      </c>
      <c r="R61" s="1">
        <v>45627</v>
      </c>
      <c r="S61">
        <v>20241202</v>
      </c>
      <c r="T61" s="1">
        <v>45628</v>
      </c>
      <c r="U61" t="s">
        <v>157</v>
      </c>
      <c r="V61">
        <v>1</v>
      </c>
      <c r="W61">
        <v>1</v>
      </c>
      <c r="X61">
        <v>282</v>
      </c>
      <c r="Y61">
        <v>276</v>
      </c>
      <c r="Z61">
        <v>282</v>
      </c>
    </row>
    <row r="62" spans="1:26" x14ac:dyDescent="0.3">
      <c r="A62">
        <v>121</v>
      </c>
      <c r="B62" t="s">
        <v>57</v>
      </c>
      <c r="C62" t="s">
        <v>58</v>
      </c>
      <c r="D62">
        <v>215</v>
      </c>
      <c r="E62" t="s">
        <v>28</v>
      </c>
      <c r="F62" t="s">
        <v>45</v>
      </c>
      <c r="G62" t="s">
        <v>46</v>
      </c>
      <c r="H62" t="s">
        <v>47</v>
      </c>
      <c r="I62">
        <v>1043</v>
      </c>
      <c r="J62" s="1">
        <v>27266</v>
      </c>
      <c r="K62" t="s">
        <v>48</v>
      </c>
      <c r="L62" t="s">
        <v>49</v>
      </c>
      <c r="M62">
        <v>25072</v>
      </c>
      <c r="N62">
        <v>1</v>
      </c>
      <c r="O62" t="s">
        <v>34</v>
      </c>
      <c r="P62">
        <v>2</v>
      </c>
      <c r="Q62">
        <v>20220416</v>
      </c>
      <c r="R62" s="1">
        <v>44667</v>
      </c>
      <c r="S62">
        <v>20220418</v>
      </c>
      <c r="T62" s="1">
        <v>44669</v>
      </c>
      <c r="U62" t="s">
        <v>59</v>
      </c>
      <c r="V62">
        <v>1</v>
      </c>
      <c r="W62">
        <v>3</v>
      </c>
      <c r="X62">
        <v>215</v>
      </c>
      <c r="Y62">
        <v>208</v>
      </c>
      <c r="Z62">
        <v>645</v>
      </c>
    </row>
    <row r="63" spans="1:26" x14ac:dyDescent="0.3">
      <c r="A63">
        <v>121</v>
      </c>
      <c r="B63" t="s">
        <v>57</v>
      </c>
      <c r="C63" t="s">
        <v>58</v>
      </c>
      <c r="D63">
        <v>215</v>
      </c>
      <c r="E63" t="s">
        <v>28</v>
      </c>
      <c r="F63" t="s">
        <v>45</v>
      </c>
      <c r="G63" t="s">
        <v>46</v>
      </c>
      <c r="H63" t="s">
        <v>47</v>
      </c>
      <c r="I63">
        <v>1043</v>
      </c>
      <c r="J63" s="1">
        <v>27266</v>
      </c>
      <c r="K63" t="s">
        <v>48</v>
      </c>
      <c r="L63" t="s">
        <v>49</v>
      </c>
      <c r="M63">
        <v>25072</v>
      </c>
      <c r="N63">
        <v>1</v>
      </c>
      <c r="O63" t="s">
        <v>34</v>
      </c>
      <c r="P63">
        <v>2</v>
      </c>
      <c r="Q63">
        <v>20230327</v>
      </c>
      <c r="R63" s="1">
        <v>45012</v>
      </c>
      <c r="S63">
        <v>20230328</v>
      </c>
      <c r="T63" s="1">
        <v>45013</v>
      </c>
      <c r="U63" t="s">
        <v>91</v>
      </c>
      <c r="V63">
        <v>1</v>
      </c>
      <c r="W63">
        <v>3</v>
      </c>
      <c r="X63">
        <v>215</v>
      </c>
      <c r="Y63">
        <v>207</v>
      </c>
      <c r="Z63">
        <v>645</v>
      </c>
    </row>
    <row r="64" spans="1:26" x14ac:dyDescent="0.3">
      <c r="A64">
        <v>121</v>
      </c>
      <c r="B64" t="s">
        <v>57</v>
      </c>
      <c r="C64" t="s">
        <v>58</v>
      </c>
      <c r="D64">
        <v>215</v>
      </c>
      <c r="E64" t="s">
        <v>28</v>
      </c>
      <c r="F64" t="s">
        <v>45</v>
      </c>
      <c r="G64" t="s">
        <v>46</v>
      </c>
      <c r="H64" t="s">
        <v>47</v>
      </c>
      <c r="I64">
        <v>1049</v>
      </c>
      <c r="J64" s="1">
        <v>31447</v>
      </c>
      <c r="K64" t="s">
        <v>48</v>
      </c>
      <c r="L64" t="s">
        <v>33</v>
      </c>
      <c r="M64">
        <v>37462</v>
      </c>
      <c r="N64">
        <v>2</v>
      </c>
      <c r="O64" t="s">
        <v>34</v>
      </c>
      <c r="P64">
        <v>0</v>
      </c>
      <c r="Q64">
        <v>20251226</v>
      </c>
      <c r="R64" s="1">
        <v>46017</v>
      </c>
      <c r="S64">
        <v>20251228</v>
      </c>
      <c r="T64" s="1">
        <v>46019</v>
      </c>
      <c r="U64" t="s">
        <v>93</v>
      </c>
      <c r="V64">
        <v>1</v>
      </c>
      <c r="W64">
        <v>1</v>
      </c>
      <c r="X64">
        <v>215</v>
      </c>
      <c r="Y64">
        <v>201</v>
      </c>
      <c r="Z64">
        <v>215</v>
      </c>
    </row>
    <row r="65" spans="1:26" x14ac:dyDescent="0.3">
      <c r="A65">
        <v>121</v>
      </c>
      <c r="B65" t="s">
        <v>57</v>
      </c>
      <c r="C65" t="s">
        <v>58</v>
      </c>
      <c r="D65">
        <v>215</v>
      </c>
      <c r="E65" t="s">
        <v>28</v>
      </c>
      <c r="F65" t="s">
        <v>45</v>
      </c>
      <c r="G65" t="s">
        <v>46</v>
      </c>
      <c r="H65" t="s">
        <v>47</v>
      </c>
      <c r="I65">
        <v>1007</v>
      </c>
      <c r="J65" s="1">
        <v>30201</v>
      </c>
      <c r="K65" t="s">
        <v>32</v>
      </c>
      <c r="L65" t="s">
        <v>49</v>
      </c>
      <c r="M65">
        <v>72282</v>
      </c>
      <c r="N65">
        <v>4</v>
      </c>
      <c r="O65" t="s">
        <v>34</v>
      </c>
      <c r="P65">
        <v>3</v>
      </c>
      <c r="Q65">
        <v>20241017</v>
      </c>
      <c r="R65" s="1">
        <v>45582</v>
      </c>
      <c r="S65">
        <v>20241019</v>
      </c>
      <c r="T65" s="1">
        <v>45584</v>
      </c>
      <c r="U65" t="s">
        <v>101</v>
      </c>
      <c r="V65">
        <v>1</v>
      </c>
      <c r="W65">
        <v>1</v>
      </c>
      <c r="X65">
        <v>215</v>
      </c>
      <c r="Y65">
        <v>207</v>
      </c>
      <c r="Z65">
        <v>215</v>
      </c>
    </row>
    <row r="66" spans="1:26" x14ac:dyDescent="0.3">
      <c r="A66">
        <v>121</v>
      </c>
      <c r="B66" t="s">
        <v>57</v>
      </c>
      <c r="C66" t="s">
        <v>58</v>
      </c>
      <c r="D66">
        <v>215</v>
      </c>
      <c r="E66" t="s">
        <v>28</v>
      </c>
      <c r="F66" t="s">
        <v>45</v>
      </c>
      <c r="G66" t="s">
        <v>46</v>
      </c>
      <c r="H66" t="s">
        <v>47</v>
      </c>
      <c r="I66">
        <v>1043</v>
      </c>
      <c r="J66" s="1">
        <v>27266</v>
      </c>
      <c r="K66" t="s">
        <v>48</v>
      </c>
      <c r="L66" t="s">
        <v>49</v>
      </c>
      <c r="M66">
        <v>25072</v>
      </c>
      <c r="N66">
        <v>1</v>
      </c>
      <c r="O66" t="s">
        <v>34</v>
      </c>
      <c r="P66">
        <v>2</v>
      </c>
      <c r="Q66">
        <v>20220730</v>
      </c>
      <c r="R66" s="1">
        <v>44772</v>
      </c>
      <c r="S66">
        <v>20220731</v>
      </c>
      <c r="T66" s="1">
        <v>44773</v>
      </c>
      <c r="U66" t="s">
        <v>111</v>
      </c>
      <c r="V66">
        <v>1</v>
      </c>
      <c r="W66">
        <v>5</v>
      </c>
      <c r="X66">
        <v>215</v>
      </c>
      <c r="Y66">
        <v>203</v>
      </c>
      <c r="Z66">
        <v>1075</v>
      </c>
    </row>
    <row r="67" spans="1:26" x14ac:dyDescent="0.3">
      <c r="A67">
        <v>121</v>
      </c>
      <c r="B67" t="s">
        <v>57</v>
      </c>
      <c r="C67" t="s">
        <v>58</v>
      </c>
      <c r="D67">
        <v>215</v>
      </c>
      <c r="E67" t="s">
        <v>28</v>
      </c>
      <c r="F67" t="s">
        <v>45</v>
      </c>
      <c r="G67" t="s">
        <v>46</v>
      </c>
      <c r="H67" t="s">
        <v>47</v>
      </c>
      <c r="I67">
        <v>1043</v>
      </c>
      <c r="J67" s="1">
        <v>27266</v>
      </c>
      <c r="K67" t="s">
        <v>48</v>
      </c>
      <c r="L67" t="s">
        <v>49</v>
      </c>
      <c r="M67">
        <v>25072</v>
      </c>
      <c r="N67">
        <v>1</v>
      </c>
      <c r="O67" t="s">
        <v>34</v>
      </c>
      <c r="P67">
        <v>2</v>
      </c>
      <c r="Q67">
        <v>20220829</v>
      </c>
      <c r="R67" s="1">
        <v>44802</v>
      </c>
      <c r="S67">
        <v>20220831</v>
      </c>
      <c r="T67" s="1">
        <v>44804</v>
      </c>
      <c r="U67" t="s">
        <v>113</v>
      </c>
      <c r="V67">
        <v>1</v>
      </c>
      <c r="W67">
        <v>1</v>
      </c>
      <c r="X67">
        <v>215</v>
      </c>
      <c r="Y67">
        <v>200</v>
      </c>
      <c r="Z67">
        <v>215</v>
      </c>
    </row>
    <row r="68" spans="1:26" x14ac:dyDescent="0.3">
      <c r="A68">
        <v>121</v>
      </c>
      <c r="B68" t="s">
        <v>57</v>
      </c>
      <c r="C68" t="s">
        <v>58</v>
      </c>
      <c r="D68">
        <v>215</v>
      </c>
      <c r="E68" t="s">
        <v>28</v>
      </c>
      <c r="F68" t="s">
        <v>45</v>
      </c>
      <c r="G68" t="s">
        <v>46</v>
      </c>
      <c r="H68" t="s">
        <v>47</v>
      </c>
      <c r="I68">
        <v>1010</v>
      </c>
      <c r="J68" s="1">
        <v>25937</v>
      </c>
      <c r="K68" t="s">
        <v>32</v>
      </c>
      <c r="L68" t="s">
        <v>33</v>
      </c>
      <c r="M68">
        <v>68571</v>
      </c>
      <c r="N68">
        <v>0</v>
      </c>
      <c r="O68" t="s">
        <v>34</v>
      </c>
      <c r="P68">
        <v>1</v>
      </c>
      <c r="Q68">
        <v>20241231</v>
      </c>
      <c r="R68" s="1">
        <v>45657</v>
      </c>
      <c r="S68">
        <v>20250103</v>
      </c>
      <c r="T68" s="1">
        <v>45660</v>
      </c>
      <c r="U68" t="s">
        <v>122</v>
      </c>
      <c r="V68">
        <v>1</v>
      </c>
      <c r="W68">
        <v>3</v>
      </c>
      <c r="X68">
        <v>215</v>
      </c>
      <c r="Y68">
        <v>201</v>
      </c>
      <c r="Z68">
        <v>645</v>
      </c>
    </row>
    <row r="69" spans="1:26" x14ac:dyDescent="0.3">
      <c r="A69">
        <v>121</v>
      </c>
      <c r="B69" t="s">
        <v>57</v>
      </c>
      <c r="C69" t="s">
        <v>58</v>
      </c>
      <c r="D69">
        <v>215</v>
      </c>
      <c r="E69" t="s">
        <v>28</v>
      </c>
      <c r="F69" t="s">
        <v>45</v>
      </c>
      <c r="G69" t="s">
        <v>46</v>
      </c>
      <c r="H69" t="s">
        <v>47</v>
      </c>
      <c r="I69">
        <v>1022</v>
      </c>
      <c r="J69" s="1">
        <v>26303</v>
      </c>
      <c r="K69" t="s">
        <v>48</v>
      </c>
      <c r="L69" t="s">
        <v>33</v>
      </c>
      <c r="M69">
        <v>52944</v>
      </c>
      <c r="N69">
        <v>3</v>
      </c>
      <c r="O69" t="s">
        <v>34</v>
      </c>
      <c r="P69">
        <v>1</v>
      </c>
      <c r="Q69">
        <v>20230625</v>
      </c>
      <c r="R69" s="1">
        <v>45102</v>
      </c>
      <c r="S69">
        <v>20230627</v>
      </c>
      <c r="T69" s="1">
        <v>45104</v>
      </c>
      <c r="U69" t="s">
        <v>131</v>
      </c>
      <c r="V69">
        <v>1</v>
      </c>
      <c r="W69">
        <v>3</v>
      </c>
      <c r="X69">
        <v>215</v>
      </c>
      <c r="Y69">
        <v>206</v>
      </c>
      <c r="Z69">
        <v>645</v>
      </c>
    </row>
    <row r="70" spans="1:26" x14ac:dyDescent="0.3">
      <c r="A70">
        <v>121</v>
      </c>
      <c r="B70" t="s">
        <v>57</v>
      </c>
      <c r="C70" t="s">
        <v>58</v>
      </c>
      <c r="D70">
        <v>215</v>
      </c>
      <c r="E70" t="s">
        <v>28</v>
      </c>
      <c r="F70" t="s">
        <v>45</v>
      </c>
      <c r="G70" t="s">
        <v>46</v>
      </c>
      <c r="H70" t="s">
        <v>47</v>
      </c>
      <c r="I70">
        <v>1049</v>
      </c>
      <c r="J70" s="1">
        <v>31447</v>
      </c>
      <c r="K70" t="s">
        <v>48</v>
      </c>
      <c r="L70" t="s">
        <v>33</v>
      </c>
      <c r="M70">
        <v>37462</v>
      </c>
      <c r="N70">
        <v>2</v>
      </c>
      <c r="O70" t="s">
        <v>34</v>
      </c>
      <c r="P70">
        <v>0</v>
      </c>
      <c r="Q70">
        <v>20250130</v>
      </c>
      <c r="R70" s="1">
        <v>45687</v>
      </c>
      <c r="S70">
        <v>20250202</v>
      </c>
      <c r="T70" s="1">
        <v>45690</v>
      </c>
      <c r="U70" t="s">
        <v>143</v>
      </c>
      <c r="V70">
        <v>1</v>
      </c>
      <c r="W70">
        <v>4</v>
      </c>
      <c r="X70">
        <v>215</v>
      </c>
      <c r="Y70">
        <v>207</v>
      </c>
      <c r="Z70">
        <v>860</v>
      </c>
    </row>
    <row r="71" spans="1:26" x14ac:dyDescent="0.3">
      <c r="A71">
        <v>121</v>
      </c>
      <c r="B71" t="s">
        <v>57</v>
      </c>
      <c r="C71" t="s">
        <v>58</v>
      </c>
      <c r="D71">
        <v>215</v>
      </c>
      <c r="E71" t="s">
        <v>28</v>
      </c>
      <c r="F71" t="s">
        <v>45</v>
      </c>
      <c r="G71" t="s">
        <v>46</v>
      </c>
      <c r="H71" t="s">
        <v>47</v>
      </c>
      <c r="I71">
        <v>1043</v>
      </c>
      <c r="J71" s="1">
        <v>27266</v>
      </c>
      <c r="K71" t="s">
        <v>48</v>
      </c>
      <c r="L71" t="s">
        <v>49</v>
      </c>
      <c r="M71">
        <v>25072</v>
      </c>
      <c r="N71">
        <v>1</v>
      </c>
      <c r="O71" t="s">
        <v>34</v>
      </c>
      <c r="P71">
        <v>2</v>
      </c>
      <c r="Q71">
        <v>20230710</v>
      </c>
      <c r="R71" s="1">
        <v>45117</v>
      </c>
      <c r="S71">
        <v>20230712</v>
      </c>
      <c r="T71" s="1">
        <v>45119</v>
      </c>
      <c r="U71" t="s">
        <v>147</v>
      </c>
      <c r="V71">
        <v>1</v>
      </c>
      <c r="W71">
        <v>3</v>
      </c>
      <c r="X71">
        <v>215</v>
      </c>
      <c r="Y71">
        <v>206</v>
      </c>
      <c r="Z71">
        <v>645</v>
      </c>
    </row>
    <row r="72" spans="1:26" x14ac:dyDescent="0.3">
      <c r="A72">
        <v>121</v>
      </c>
      <c r="B72" t="s">
        <v>57</v>
      </c>
      <c r="C72" t="s">
        <v>58</v>
      </c>
      <c r="D72">
        <v>215</v>
      </c>
      <c r="E72" t="s">
        <v>28</v>
      </c>
      <c r="F72" t="s">
        <v>45</v>
      </c>
      <c r="G72" t="s">
        <v>46</v>
      </c>
      <c r="H72" t="s">
        <v>47</v>
      </c>
      <c r="I72">
        <v>1014</v>
      </c>
      <c r="J72" s="1">
        <v>29531</v>
      </c>
      <c r="K72" t="s">
        <v>48</v>
      </c>
      <c r="L72" t="s">
        <v>49</v>
      </c>
      <c r="M72">
        <v>38460</v>
      </c>
      <c r="N72">
        <v>0</v>
      </c>
      <c r="O72" t="s">
        <v>34</v>
      </c>
      <c r="P72">
        <v>0</v>
      </c>
      <c r="Q72">
        <v>20250415</v>
      </c>
      <c r="R72" s="1">
        <v>45762</v>
      </c>
      <c r="S72">
        <v>20250418</v>
      </c>
      <c r="T72" s="1">
        <v>45765</v>
      </c>
      <c r="U72" t="s">
        <v>156</v>
      </c>
      <c r="V72">
        <v>1</v>
      </c>
      <c r="W72">
        <v>5</v>
      </c>
      <c r="X72">
        <v>215</v>
      </c>
      <c r="Y72">
        <v>206</v>
      </c>
      <c r="Z72">
        <v>1075</v>
      </c>
    </row>
    <row r="73" spans="1:26" x14ac:dyDescent="0.3">
      <c r="A73">
        <v>128</v>
      </c>
      <c r="B73" t="s">
        <v>71</v>
      </c>
      <c r="C73" t="s">
        <v>72</v>
      </c>
      <c r="D73">
        <v>401</v>
      </c>
      <c r="E73" t="s">
        <v>53</v>
      </c>
      <c r="F73" t="s">
        <v>45</v>
      </c>
      <c r="G73" t="s">
        <v>46</v>
      </c>
      <c r="H73" t="s">
        <v>73</v>
      </c>
      <c r="I73">
        <v>1010</v>
      </c>
      <c r="J73" s="1">
        <v>25937</v>
      </c>
      <c r="K73" t="s">
        <v>32</v>
      </c>
      <c r="L73" t="s">
        <v>33</v>
      </c>
      <c r="M73">
        <v>68571</v>
      </c>
      <c r="N73">
        <v>0</v>
      </c>
      <c r="O73" t="s">
        <v>34</v>
      </c>
      <c r="P73">
        <v>1</v>
      </c>
      <c r="Q73">
        <v>20240405</v>
      </c>
      <c r="R73" s="1">
        <v>45387</v>
      </c>
      <c r="S73">
        <v>20240406</v>
      </c>
      <c r="T73" s="1">
        <v>45388</v>
      </c>
      <c r="U73" t="s">
        <v>74</v>
      </c>
      <c r="V73">
        <v>1</v>
      </c>
      <c r="W73">
        <v>4</v>
      </c>
      <c r="X73">
        <v>401</v>
      </c>
      <c r="Y73">
        <v>387</v>
      </c>
      <c r="Z73">
        <v>1604</v>
      </c>
    </row>
    <row r="74" spans="1:26" x14ac:dyDescent="0.3">
      <c r="A74">
        <v>128</v>
      </c>
      <c r="B74" t="s">
        <v>71</v>
      </c>
      <c r="C74" t="s">
        <v>72</v>
      </c>
      <c r="D74">
        <v>401</v>
      </c>
      <c r="E74" t="s">
        <v>53</v>
      </c>
      <c r="F74" t="s">
        <v>45</v>
      </c>
      <c r="G74" t="s">
        <v>46</v>
      </c>
      <c r="H74" t="s">
        <v>73</v>
      </c>
      <c r="I74">
        <v>1022</v>
      </c>
      <c r="J74" s="1">
        <v>26303</v>
      </c>
      <c r="K74" t="s">
        <v>48</v>
      </c>
      <c r="L74" t="s">
        <v>33</v>
      </c>
      <c r="M74">
        <v>52944</v>
      </c>
      <c r="N74">
        <v>3</v>
      </c>
      <c r="O74" t="s">
        <v>34</v>
      </c>
      <c r="P74">
        <v>1</v>
      </c>
      <c r="Q74">
        <v>20241017</v>
      </c>
      <c r="R74" s="1">
        <v>45582</v>
      </c>
      <c r="S74">
        <v>20241018</v>
      </c>
      <c r="T74" s="1">
        <v>45583</v>
      </c>
      <c r="U74" t="s">
        <v>106</v>
      </c>
      <c r="V74">
        <v>1</v>
      </c>
      <c r="W74">
        <v>5</v>
      </c>
      <c r="X74">
        <v>401</v>
      </c>
      <c r="Y74">
        <v>386</v>
      </c>
      <c r="Z74">
        <v>2005</v>
      </c>
    </row>
    <row r="75" spans="1:26" x14ac:dyDescent="0.3">
      <c r="A75">
        <v>128</v>
      </c>
      <c r="B75" t="s">
        <v>71</v>
      </c>
      <c r="C75" t="s">
        <v>72</v>
      </c>
      <c r="D75">
        <v>401</v>
      </c>
      <c r="E75" t="s">
        <v>53</v>
      </c>
      <c r="F75" t="s">
        <v>45</v>
      </c>
      <c r="G75" t="s">
        <v>46</v>
      </c>
      <c r="H75" t="s">
        <v>73</v>
      </c>
      <c r="I75">
        <v>1016</v>
      </c>
      <c r="J75" s="1">
        <v>33863</v>
      </c>
      <c r="K75" t="s">
        <v>48</v>
      </c>
      <c r="L75" t="s">
        <v>49</v>
      </c>
      <c r="M75">
        <v>50603</v>
      </c>
      <c r="N75">
        <v>1</v>
      </c>
      <c r="O75" t="s">
        <v>55</v>
      </c>
      <c r="P75">
        <v>0</v>
      </c>
      <c r="Q75">
        <v>20220401</v>
      </c>
      <c r="R75" s="1">
        <v>44652</v>
      </c>
      <c r="S75">
        <v>20220404</v>
      </c>
      <c r="T75" s="1">
        <v>44655</v>
      </c>
      <c r="U75" t="s">
        <v>112</v>
      </c>
      <c r="V75">
        <v>1</v>
      </c>
      <c r="W75">
        <v>3</v>
      </c>
      <c r="X75">
        <v>401</v>
      </c>
      <c r="Y75">
        <v>387</v>
      </c>
      <c r="Z75">
        <v>1203</v>
      </c>
    </row>
    <row r="76" spans="1:26" x14ac:dyDescent="0.3">
      <c r="A76">
        <v>128</v>
      </c>
      <c r="B76" t="s">
        <v>71</v>
      </c>
      <c r="C76" t="s">
        <v>72</v>
      </c>
      <c r="D76">
        <v>401</v>
      </c>
      <c r="E76" t="s">
        <v>53</v>
      </c>
      <c r="F76" t="s">
        <v>45</v>
      </c>
      <c r="G76" t="s">
        <v>46</v>
      </c>
      <c r="H76" t="s">
        <v>73</v>
      </c>
      <c r="I76">
        <v>1007</v>
      </c>
      <c r="J76" s="1">
        <v>30201</v>
      </c>
      <c r="K76" t="s">
        <v>32</v>
      </c>
      <c r="L76" t="s">
        <v>49</v>
      </c>
      <c r="M76">
        <v>72282</v>
      </c>
      <c r="N76">
        <v>4</v>
      </c>
      <c r="O76" t="s">
        <v>34</v>
      </c>
      <c r="P76">
        <v>3</v>
      </c>
      <c r="Q76">
        <v>20250301</v>
      </c>
      <c r="R76" s="1">
        <v>45717</v>
      </c>
      <c r="S76">
        <v>20250304</v>
      </c>
      <c r="T76" s="1">
        <v>45720</v>
      </c>
      <c r="U76" t="s">
        <v>117</v>
      </c>
      <c r="V76">
        <v>1</v>
      </c>
      <c r="W76">
        <v>3</v>
      </c>
      <c r="X76">
        <v>401</v>
      </c>
      <c r="Y76">
        <v>390</v>
      </c>
      <c r="Z76">
        <v>1203</v>
      </c>
    </row>
    <row r="77" spans="1:26" x14ac:dyDescent="0.3">
      <c r="A77">
        <v>128</v>
      </c>
      <c r="B77" t="s">
        <v>71</v>
      </c>
      <c r="C77" t="s">
        <v>72</v>
      </c>
      <c r="D77">
        <v>401</v>
      </c>
      <c r="E77" t="s">
        <v>53</v>
      </c>
      <c r="F77" t="s">
        <v>45</v>
      </c>
      <c r="G77" t="s">
        <v>46</v>
      </c>
      <c r="H77" t="s">
        <v>73</v>
      </c>
      <c r="I77">
        <v>1018</v>
      </c>
      <c r="J77" s="1">
        <v>25834</v>
      </c>
      <c r="K77" t="s">
        <v>48</v>
      </c>
      <c r="L77" t="s">
        <v>33</v>
      </c>
      <c r="M77">
        <v>49779</v>
      </c>
      <c r="N77">
        <v>2</v>
      </c>
      <c r="O77" t="s">
        <v>55</v>
      </c>
      <c r="P77">
        <v>0</v>
      </c>
      <c r="Q77">
        <v>20220715</v>
      </c>
      <c r="R77" s="1">
        <v>44757</v>
      </c>
      <c r="S77">
        <v>20220717</v>
      </c>
      <c r="T77" s="1">
        <v>44759</v>
      </c>
      <c r="U77" t="s">
        <v>153</v>
      </c>
      <c r="V77">
        <v>1</v>
      </c>
      <c r="W77">
        <v>3</v>
      </c>
      <c r="X77">
        <v>401</v>
      </c>
      <c r="Y77">
        <v>395</v>
      </c>
      <c r="Z77">
        <v>1203</v>
      </c>
    </row>
    <row r="78" spans="1:26" x14ac:dyDescent="0.3">
      <c r="A78">
        <v>128</v>
      </c>
      <c r="B78" t="s">
        <v>71</v>
      </c>
      <c r="C78" t="s">
        <v>72</v>
      </c>
      <c r="D78">
        <v>401</v>
      </c>
      <c r="E78" t="s">
        <v>53</v>
      </c>
      <c r="F78" t="s">
        <v>45</v>
      </c>
      <c r="G78" t="s">
        <v>46</v>
      </c>
      <c r="H78" t="s">
        <v>73</v>
      </c>
      <c r="I78">
        <v>1049</v>
      </c>
      <c r="J78" s="1">
        <v>31447</v>
      </c>
      <c r="K78" t="s">
        <v>48</v>
      </c>
      <c r="L78" t="s">
        <v>33</v>
      </c>
      <c r="M78">
        <v>37462</v>
      </c>
      <c r="N78">
        <v>2</v>
      </c>
      <c r="O78" t="s">
        <v>34</v>
      </c>
      <c r="P78">
        <v>0</v>
      </c>
      <c r="Q78">
        <v>20230411</v>
      </c>
      <c r="R78" s="1">
        <v>45027</v>
      </c>
      <c r="S78">
        <v>20230413</v>
      </c>
      <c r="T78" s="1">
        <v>45029</v>
      </c>
      <c r="U78" t="s">
        <v>154</v>
      </c>
      <c r="V78">
        <v>1</v>
      </c>
      <c r="W78">
        <v>4</v>
      </c>
      <c r="X78">
        <v>401</v>
      </c>
      <c r="Y78">
        <v>386</v>
      </c>
      <c r="Z78">
        <v>1604</v>
      </c>
    </row>
    <row r="79" spans="1:26" x14ac:dyDescent="0.3">
      <c r="A79">
        <v>141</v>
      </c>
      <c r="B79" t="s">
        <v>66</v>
      </c>
      <c r="C79" t="s">
        <v>67</v>
      </c>
      <c r="D79">
        <v>66</v>
      </c>
      <c r="E79" t="s">
        <v>28</v>
      </c>
      <c r="F79" t="s">
        <v>45</v>
      </c>
      <c r="G79" t="s">
        <v>30</v>
      </c>
      <c r="H79" t="s">
        <v>68</v>
      </c>
      <c r="I79">
        <v>1018</v>
      </c>
      <c r="J79" s="1">
        <v>25834</v>
      </c>
      <c r="K79" t="s">
        <v>48</v>
      </c>
      <c r="L79" t="s">
        <v>33</v>
      </c>
      <c r="M79">
        <v>49779</v>
      </c>
      <c r="N79">
        <v>2</v>
      </c>
      <c r="O79" t="s">
        <v>55</v>
      </c>
      <c r="P79">
        <v>0</v>
      </c>
      <c r="Q79">
        <v>20230610</v>
      </c>
      <c r="R79" s="1">
        <v>45087</v>
      </c>
      <c r="S79">
        <v>20230613</v>
      </c>
      <c r="T79" s="1">
        <v>45090</v>
      </c>
      <c r="U79" t="s">
        <v>69</v>
      </c>
      <c r="V79">
        <v>1</v>
      </c>
      <c r="W79">
        <v>5</v>
      </c>
      <c r="X79">
        <v>66</v>
      </c>
      <c r="Y79">
        <v>52</v>
      </c>
      <c r="Z79">
        <v>330</v>
      </c>
    </row>
    <row r="80" spans="1:26" x14ac:dyDescent="0.3">
      <c r="A80">
        <v>141</v>
      </c>
      <c r="B80" t="s">
        <v>66</v>
      </c>
      <c r="C80" t="s">
        <v>67</v>
      </c>
      <c r="D80">
        <v>66</v>
      </c>
      <c r="E80" t="s">
        <v>28</v>
      </c>
      <c r="F80" t="s">
        <v>45</v>
      </c>
      <c r="G80" t="s">
        <v>30</v>
      </c>
      <c r="H80" t="s">
        <v>68</v>
      </c>
      <c r="I80">
        <v>1014</v>
      </c>
      <c r="J80" s="1">
        <v>29531</v>
      </c>
      <c r="K80" t="s">
        <v>48</v>
      </c>
      <c r="L80" t="s">
        <v>49</v>
      </c>
      <c r="M80">
        <v>38460</v>
      </c>
      <c r="N80">
        <v>0</v>
      </c>
      <c r="O80" t="s">
        <v>34</v>
      </c>
      <c r="P80">
        <v>0</v>
      </c>
      <c r="Q80">
        <v>20241116</v>
      </c>
      <c r="R80" s="1">
        <v>45612</v>
      </c>
      <c r="S80">
        <v>20241119</v>
      </c>
      <c r="T80" s="1">
        <v>45615</v>
      </c>
      <c r="U80" t="s">
        <v>78</v>
      </c>
      <c r="V80">
        <v>1</v>
      </c>
      <c r="W80">
        <v>4</v>
      </c>
      <c r="X80">
        <v>66</v>
      </c>
      <c r="Y80">
        <v>58</v>
      </c>
      <c r="Z80">
        <v>264</v>
      </c>
    </row>
    <row r="81" spans="1:26" x14ac:dyDescent="0.3">
      <c r="A81">
        <v>141</v>
      </c>
      <c r="B81" t="s">
        <v>66</v>
      </c>
      <c r="C81" t="s">
        <v>67</v>
      </c>
      <c r="D81">
        <v>66</v>
      </c>
      <c r="E81" t="s">
        <v>28</v>
      </c>
      <c r="F81" t="s">
        <v>45</v>
      </c>
      <c r="G81" t="s">
        <v>30</v>
      </c>
      <c r="H81" t="s">
        <v>68</v>
      </c>
      <c r="I81">
        <v>1030</v>
      </c>
      <c r="J81" s="1">
        <v>29588</v>
      </c>
      <c r="K81" t="s">
        <v>48</v>
      </c>
      <c r="L81" t="s">
        <v>49</v>
      </c>
      <c r="M81">
        <v>51346</v>
      </c>
      <c r="N81">
        <v>2</v>
      </c>
      <c r="O81" t="s">
        <v>34</v>
      </c>
      <c r="P81">
        <v>1</v>
      </c>
      <c r="Q81">
        <v>20220101</v>
      </c>
      <c r="R81" s="1">
        <v>44562</v>
      </c>
      <c r="S81">
        <v>20220102</v>
      </c>
      <c r="T81" s="1">
        <v>44563</v>
      </c>
      <c r="U81" t="s">
        <v>87</v>
      </c>
      <c r="V81">
        <v>1</v>
      </c>
      <c r="W81">
        <v>3</v>
      </c>
      <c r="X81">
        <v>66</v>
      </c>
      <c r="Y81">
        <v>55</v>
      </c>
      <c r="Z81">
        <v>198</v>
      </c>
    </row>
    <row r="82" spans="1:26" x14ac:dyDescent="0.3">
      <c r="A82">
        <v>141</v>
      </c>
      <c r="B82" t="s">
        <v>66</v>
      </c>
      <c r="C82" t="s">
        <v>67</v>
      </c>
      <c r="D82">
        <v>66</v>
      </c>
      <c r="E82" t="s">
        <v>28</v>
      </c>
      <c r="F82" t="s">
        <v>45</v>
      </c>
      <c r="G82" t="s">
        <v>30</v>
      </c>
      <c r="H82" t="s">
        <v>68</v>
      </c>
      <c r="I82">
        <v>1010</v>
      </c>
      <c r="J82" s="1">
        <v>25937</v>
      </c>
      <c r="K82" t="s">
        <v>32</v>
      </c>
      <c r="L82" t="s">
        <v>33</v>
      </c>
      <c r="M82">
        <v>68571</v>
      </c>
      <c r="N82">
        <v>0</v>
      </c>
      <c r="O82" t="s">
        <v>34</v>
      </c>
      <c r="P82">
        <v>1</v>
      </c>
      <c r="Q82">
        <v>20220615</v>
      </c>
      <c r="R82" s="1">
        <v>44727</v>
      </c>
      <c r="S82">
        <v>20220618</v>
      </c>
      <c r="T82" s="1">
        <v>44730</v>
      </c>
      <c r="U82" t="s">
        <v>88</v>
      </c>
      <c r="V82">
        <v>1</v>
      </c>
      <c r="W82">
        <v>3</v>
      </c>
      <c r="X82">
        <v>66</v>
      </c>
      <c r="Y82">
        <v>51</v>
      </c>
      <c r="Z82">
        <v>198</v>
      </c>
    </row>
    <row r="83" spans="1:26" x14ac:dyDescent="0.3">
      <c r="A83">
        <v>141</v>
      </c>
      <c r="B83" t="s">
        <v>66</v>
      </c>
      <c r="C83" t="s">
        <v>67</v>
      </c>
      <c r="D83">
        <v>66</v>
      </c>
      <c r="E83" t="s">
        <v>28</v>
      </c>
      <c r="F83" t="s">
        <v>45</v>
      </c>
      <c r="G83" t="s">
        <v>30</v>
      </c>
      <c r="H83" t="s">
        <v>68</v>
      </c>
      <c r="I83">
        <v>1002</v>
      </c>
      <c r="J83" s="1">
        <v>32675</v>
      </c>
      <c r="K83" t="s">
        <v>48</v>
      </c>
      <c r="L83" t="s">
        <v>49</v>
      </c>
      <c r="M83">
        <v>64715</v>
      </c>
      <c r="N83">
        <v>1</v>
      </c>
      <c r="O83" t="s">
        <v>55</v>
      </c>
      <c r="P83">
        <v>1</v>
      </c>
      <c r="Q83">
        <v>20240306</v>
      </c>
      <c r="R83" s="1">
        <v>45357</v>
      </c>
      <c r="S83">
        <v>20240308</v>
      </c>
      <c r="T83" s="1">
        <v>45359</v>
      </c>
      <c r="U83" t="s">
        <v>89</v>
      </c>
      <c r="V83">
        <v>1</v>
      </c>
      <c r="W83">
        <v>2</v>
      </c>
      <c r="X83">
        <v>66</v>
      </c>
      <c r="Y83">
        <v>54</v>
      </c>
      <c r="Z83">
        <v>132</v>
      </c>
    </row>
    <row r="84" spans="1:26" x14ac:dyDescent="0.3">
      <c r="A84">
        <v>141</v>
      </c>
      <c r="B84" t="s">
        <v>66</v>
      </c>
      <c r="C84" t="s">
        <v>67</v>
      </c>
      <c r="D84">
        <v>66</v>
      </c>
      <c r="E84" t="s">
        <v>28</v>
      </c>
      <c r="F84" t="s">
        <v>45</v>
      </c>
      <c r="G84" t="s">
        <v>30</v>
      </c>
      <c r="H84" t="s">
        <v>68</v>
      </c>
      <c r="I84">
        <v>1043</v>
      </c>
      <c r="J84" s="1">
        <v>27266</v>
      </c>
      <c r="K84" t="s">
        <v>48</v>
      </c>
      <c r="L84" t="s">
        <v>49</v>
      </c>
      <c r="M84">
        <v>25072</v>
      </c>
      <c r="N84">
        <v>1</v>
      </c>
      <c r="O84" t="s">
        <v>34</v>
      </c>
      <c r="P84">
        <v>2</v>
      </c>
      <c r="Q84">
        <v>20220913</v>
      </c>
      <c r="R84" s="1">
        <v>44817</v>
      </c>
      <c r="S84">
        <v>20220916</v>
      </c>
      <c r="T84" s="1">
        <v>44820</v>
      </c>
      <c r="U84" t="s">
        <v>90</v>
      </c>
      <c r="V84">
        <v>1</v>
      </c>
      <c r="W84">
        <v>4</v>
      </c>
      <c r="X84">
        <v>66</v>
      </c>
      <c r="Y84">
        <v>56</v>
      </c>
      <c r="Z84">
        <v>264</v>
      </c>
    </row>
    <row r="85" spans="1:26" x14ac:dyDescent="0.3">
      <c r="A85">
        <v>141</v>
      </c>
      <c r="B85" t="s">
        <v>66</v>
      </c>
      <c r="C85" t="s">
        <v>67</v>
      </c>
      <c r="D85">
        <v>66</v>
      </c>
      <c r="E85" t="s">
        <v>28</v>
      </c>
      <c r="F85" t="s">
        <v>45</v>
      </c>
      <c r="G85" t="s">
        <v>30</v>
      </c>
      <c r="H85" t="s">
        <v>68</v>
      </c>
      <c r="I85">
        <v>1014</v>
      </c>
      <c r="J85" s="1">
        <v>29531</v>
      </c>
      <c r="K85" t="s">
        <v>48</v>
      </c>
      <c r="L85" t="s">
        <v>49</v>
      </c>
      <c r="M85">
        <v>38460</v>
      </c>
      <c r="N85">
        <v>0</v>
      </c>
      <c r="O85" t="s">
        <v>34</v>
      </c>
      <c r="P85">
        <v>0</v>
      </c>
      <c r="Q85">
        <v>20250614</v>
      </c>
      <c r="R85" s="1">
        <v>45822</v>
      </c>
      <c r="S85">
        <v>20250616</v>
      </c>
      <c r="T85" s="1">
        <v>45824</v>
      </c>
      <c r="U85" t="s">
        <v>94</v>
      </c>
      <c r="V85">
        <v>1</v>
      </c>
      <c r="W85">
        <v>3</v>
      </c>
      <c r="X85">
        <v>66</v>
      </c>
      <c r="Y85">
        <v>60</v>
      </c>
      <c r="Z85">
        <v>198</v>
      </c>
    </row>
    <row r="86" spans="1:26" x14ac:dyDescent="0.3">
      <c r="A86">
        <v>141</v>
      </c>
      <c r="B86" t="s">
        <v>66</v>
      </c>
      <c r="C86" t="s">
        <v>67</v>
      </c>
      <c r="D86">
        <v>66</v>
      </c>
      <c r="E86" t="s">
        <v>28</v>
      </c>
      <c r="F86" t="s">
        <v>45</v>
      </c>
      <c r="G86" t="s">
        <v>30</v>
      </c>
      <c r="H86" t="s">
        <v>68</v>
      </c>
      <c r="I86">
        <v>1002</v>
      </c>
      <c r="J86" s="1">
        <v>32675</v>
      </c>
      <c r="K86" t="s">
        <v>48</v>
      </c>
      <c r="L86" t="s">
        <v>49</v>
      </c>
      <c r="M86">
        <v>64715</v>
      </c>
      <c r="N86">
        <v>1</v>
      </c>
      <c r="O86" t="s">
        <v>55</v>
      </c>
      <c r="P86">
        <v>1</v>
      </c>
      <c r="Q86">
        <v>20220215</v>
      </c>
      <c r="R86" s="1">
        <v>44607</v>
      </c>
      <c r="S86">
        <v>20220218</v>
      </c>
      <c r="T86" s="1">
        <v>44610</v>
      </c>
      <c r="U86" t="s">
        <v>98</v>
      </c>
      <c r="V86">
        <v>1</v>
      </c>
      <c r="W86">
        <v>2</v>
      </c>
      <c r="X86">
        <v>66</v>
      </c>
      <c r="Y86">
        <v>54</v>
      </c>
      <c r="Z86">
        <v>132</v>
      </c>
    </row>
    <row r="87" spans="1:26" x14ac:dyDescent="0.3">
      <c r="A87">
        <v>141</v>
      </c>
      <c r="B87" t="s">
        <v>66</v>
      </c>
      <c r="C87" t="s">
        <v>67</v>
      </c>
      <c r="D87">
        <v>66</v>
      </c>
      <c r="E87" t="s">
        <v>28</v>
      </c>
      <c r="F87" t="s">
        <v>45</v>
      </c>
      <c r="G87" t="s">
        <v>30</v>
      </c>
      <c r="H87" t="s">
        <v>68</v>
      </c>
      <c r="I87">
        <v>1014</v>
      </c>
      <c r="J87" s="1">
        <v>29531</v>
      </c>
      <c r="K87" t="s">
        <v>48</v>
      </c>
      <c r="L87" t="s">
        <v>49</v>
      </c>
      <c r="M87">
        <v>38460</v>
      </c>
      <c r="N87">
        <v>0</v>
      </c>
      <c r="O87" t="s">
        <v>34</v>
      </c>
      <c r="P87">
        <v>0</v>
      </c>
      <c r="Q87">
        <v>20250614</v>
      </c>
      <c r="R87" s="1">
        <v>45822</v>
      </c>
      <c r="S87">
        <v>20250616</v>
      </c>
      <c r="T87" s="1">
        <v>45824</v>
      </c>
      <c r="U87" t="s">
        <v>100</v>
      </c>
      <c r="V87">
        <v>1</v>
      </c>
      <c r="W87">
        <v>3</v>
      </c>
      <c r="X87">
        <v>66</v>
      </c>
      <c r="Y87">
        <v>59</v>
      </c>
      <c r="Z87">
        <v>198</v>
      </c>
    </row>
    <row r="88" spans="1:26" x14ac:dyDescent="0.3">
      <c r="A88">
        <v>141</v>
      </c>
      <c r="B88" t="s">
        <v>66</v>
      </c>
      <c r="C88" t="s">
        <v>67</v>
      </c>
      <c r="D88">
        <v>66</v>
      </c>
      <c r="E88" t="s">
        <v>28</v>
      </c>
      <c r="F88" t="s">
        <v>45</v>
      </c>
      <c r="G88" t="s">
        <v>30</v>
      </c>
      <c r="H88" t="s">
        <v>68</v>
      </c>
      <c r="I88">
        <v>1007</v>
      </c>
      <c r="J88" s="1">
        <v>30201</v>
      </c>
      <c r="K88" t="s">
        <v>32</v>
      </c>
      <c r="L88" t="s">
        <v>49</v>
      </c>
      <c r="M88">
        <v>72282</v>
      </c>
      <c r="N88">
        <v>4</v>
      </c>
      <c r="O88" t="s">
        <v>34</v>
      </c>
      <c r="P88">
        <v>3</v>
      </c>
      <c r="Q88">
        <v>20221212</v>
      </c>
      <c r="R88" s="1">
        <v>44907</v>
      </c>
      <c r="S88">
        <v>20221214</v>
      </c>
      <c r="T88" s="1">
        <v>44909</v>
      </c>
      <c r="U88" t="s">
        <v>115</v>
      </c>
      <c r="V88">
        <v>1</v>
      </c>
      <c r="W88">
        <v>1</v>
      </c>
      <c r="X88">
        <v>66</v>
      </c>
      <c r="Y88">
        <v>52</v>
      </c>
      <c r="Z88">
        <v>66</v>
      </c>
    </row>
    <row r="89" spans="1:26" x14ac:dyDescent="0.3">
      <c r="A89">
        <v>141</v>
      </c>
      <c r="B89" t="s">
        <v>66</v>
      </c>
      <c r="C89" t="s">
        <v>67</v>
      </c>
      <c r="D89">
        <v>66</v>
      </c>
      <c r="E89" t="s">
        <v>28</v>
      </c>
      <c r="F89" t="s">
        <v>45</v>
      </c>
      <c r="G89" t="s">
        <v>30</v>
      </c>
      <c r="H89" t="s">
        <v>68</v>
      </c>
      <c r="I89">
        <v>1016</v>
      </c>
      <c r="J89" s="1">
        <v>33863</v>
      </c>
      <c r="K89" t="s">
        <v>48</v>
      </c>
      <c r="L89" t="s">
        <v>49</v>
      </c>
      <c r="M89">
        <v>50603</v>
      </c>
      <c r="N89">
        <v>1</v>
      </c>
      <c r="O89" t="s">
        <v>55</v>
      </c>
      <c r="P89">
        <v>0</v>
      </c>
      <c r="Q89">
        <v>20241017</v>
      </c>
      <c r="R89" s="1">
        <v>45582</v>
      </c>
      <c r="S89">
        <v>20241019</v>
      </c>
      <c r="T89" s="1">
        <v>45584</v>
      </c>
      <c r="U89" t="s">
        <v>118</v>
      </c>
      <c r="V89">
        <v>1</v>
      </c>
      <c r="W89">
        <v>3</v>
      </c>
      <c r="X89">
        <v>66</v>
      </c>
      <c r="Y89">
        <v>54</v>
      </c>
      <c r="Z89">
        <v>198</v>
      </c>
    </row>
    <row r="90" spans="1:26" x14ac:dyDescent="0.3">
      <c r="A90">
        <v>141</v>
      </c>
      <c r="B90" t="s">
        <v>66</v>
      </c>
      <c r="C90" t="s">
        <v>67</v>
      </c>
      <c r="D90">
        <v>66</v>
      </c>
      <c r="E90" t="s">
        <v>28</v>
      </c>
      <c r="F90" t="s">
        <v>45</v>
      </c>
      <c r="G90" t="s">
        <v>30</v>
      </c>
      <c r="H90" t="s">
        <v>68</v>
      </c>
      <c r="I90">
        <v>1010</v>
      </c>
      <c r="J90" s="1">
        <v>25937</v>
      </c>
      <c r="K90" t="s">
        <v>32</v>
      </c>
      <c r="L90" t="s">
        <v>33</v>
      </c>
      <c r="M90">
        <v>68571</v>
      </c>
      <c r="N90">
        <v>0</v>
      </c>
      <c r="O90" t="s">
        <v>34</v>
      </c>
      <c r="P90">
        <v>1</v>
      </c>
      <c r="Q90">
        <v>20251211</v>
      </c>
      <c r="R90" s="1">
        <v>46002</v>
      </c>
      <c r="S90">
        <v>20251213</v>
      </c>
      <c r="T90" s="1">
        <v>46004</v>
      </c>
      <c r="U90" t="s">
        <v>136</v>
      </c>
      <c r="V90">
        <v>1</v>
      </c>
      <c r="W90">
        <v>5</v>
      </c>
      <c r="X90">
        <v>66</v>
      </c>
      <c r="Y90">
        <v>56</v>
      </c>
      <c r="Z90">
        <v>330</v>
      </c>
    </row>
    <row r="91" spans="1:26" x14ac:dyDescent="0.3">
      <c r="A91">
        <v>141</v>
      </c>
      <c r="B91" t="s">
        <v>66</v>
      </c>
      <c r="C91" t="s">
        <v>67</v>
      </c>
      <c r="D91">
        <v>66</v>
      </c>
      <c r="E91" t="s">
        <v>28</v>
      </c>
      <c r="F91" t="s">
        <v>45</v>
      </c>
      <c r="G91" t="s">
        <v>30</v>
      </c>
      <c r="H91" t="s">
        <v>68</v>
      </c>
      <c r="I91">
        <v>1010</v>
      </c>
      <c r="J91" s="1">
        <v>25937</v>
      </c>
      <c r="K91" t="s">
        <v>32</v>
      </c>
      <c r="L91" t="s">
        <v>33</v>
      </c>
      <c r="M91">
        <v>68571</v>
      </c>
      <c r="N91">
        <v>0</v>
      </c>
      <c r="O91" t="s">
        <v>34</v>
      </c>
      <c r="P91">
        <v>1</v>
      </c>
      <c r="Q91">
        <v>20220416</v>
      </c>
      <c r="R91" s="1">
        <v>44667</v>
      </c>
      <c r="S91">
        <v>20220417</v>
      </c>
      <c r="T91" s="1">
        <v>44668</v>
      </c>
      <c r="U91" t="s">
        <v>160</v>
      </c>
      <c r="V91">
        <v>1</v>
      </c>
      <c r="W91">
        <v>3</v>
      </c>
      <c r="X91">
        <v>66</v>
      </c>
      <c r="Y91">
        <v>55</v>
      </c>
      <c r="Z91">
        <v>198</v>
      </c>
    </row>
    <row r="92" spans="1:26" x14ac:dyDescent="0.3">
      <c r="A92">
        <v>144</v>
      </c>
      <c r="B92" t="s">
        <v>36</v>
      </c>
      <c r="C92" t="s">
        <v>37</v>
      </c>
      <c r="D92">
        <v>259</v>
      </c>
      <c r="E92" t="s">
        <v>38</v>
      </c>
      <c r="F92" t="s">
        <v>39</v>
      </c>
      <c r="G92" t="s">
        <v>30</v>
      </c>
      <c r="H92" t="s">
        <v>40</v>
      </c>
      <c r="I92">
        <v>1010</v>
      </c>
      <c r="J92" s="1">
        <v>25937</v>
      </c>
      <c r="K92" t="s">
        <v>32</v>
      </c>
      <c r="L92" t="s">
        <v>33</v>
      </c>
      <c r="M92">
        <v>68571</v>
      </c>
      <c r="N92">
        <v>0</v>
      </c>
      <c r="O92" t="s">
        <v>34</v>
      </c>
      <c r="P92">
        <v>1</v>
      </c>
      <c r="Q92">
        <v>20220928</v>
      </c>
      <c r="R92" s="1">
        <v>44832</v>
      </c>
      <c r="S92">
        <v>20221001</v>
      </c>
      <c r="T92" s="1">
        <v>44835</v>
      </c>
      <c r="U92" t="s">
        <v>41</v>
      </c>
      <c r="V92">
        <v>1</v>
      </c>
      <c r="W92">
        <v>3</v>
      </c>
      <c r="X92">
        <v>259</v>
      </c>
      <c r="Y92">
        <v>251</v>
      </c>
      <c r="Z92">
        <v>777</v>
      </c>
    </row>
    <row r="93" spans="1:26" x14ac:dyDescent="0.3">
      <c r="A93">
        <v>144</v>
      </c>
      <c r="B93" t="s">
        <v>36</v>
      </c>
      <c r="C93" t="s">
        <v>37</v>
      </c>
      <c r="D93">
        <v>259</v>
      </c>
      <c r="E93" t="s">
        <v>38</v>
      </c>
      <c r="F93" t="s">
        <v>39</v>
      </c>
      <c r="G93" t="s">
        <v>30</v>
      </c>
      <c r="H93" t="s">
        <v>40</v>
      </c>
      <c r="I93">
        <v>1030</v>
      </c>
      <c r="J93" s="1">
        <v>29588</v>
      </c>
      <c r="K93" t="s">
        <v>48</v>
      </c>
      <c r="L93" t="s">
        <v>49</v>
      </c>
      <c r="M93">
        <v>51346</v>
      </c>
      <c r="N93">
        <v>2</v>
      </c>
      <c r="O93" t="s">
        <v>34</v>
      </c>
      <c r="P93">
        <v>1</v>
      </c>
      <c r="Q93">
        <v>20240306</v>
      </c>
      <c r="R93" s="1">
        <v>45357</v>
      </c>
      <c r="S93">
        <v>20240307</v>
      </c>
      <c r="T93" s="1">
        <v>45358</v>
      </c>
      <c r="U93" t="s">
        <v>79</v>
      </c>
      <c r="V93">
        <v>1</v>
      </c>
      <c r="W93">
        <v>1</v>
      </c>
      <c r="X93">
        <v>259</v>
      </c>
      <c r="Y93">
        <v>253</v>
      </c>
      <c r="Z93">
        <v>259</v>
      </c>
    </row>
    <row r="94" spans="1:26" x14ac:dyDescent="0.3">
      <c r="A94">
        <v>144</v>
      </c>
      <c r="B94" t="s">
        <v>36</v>
      </c>
      <c r="C94" t="s">
        <v>37</v>
      </c>
      <c r="D94">
        <v>259</v>
      </c>
      <c r="E94" t="s">
        <v>38</v>
      </c>
      <c r="F94" t="s">
        <v>39</v>
      </c>
      <c r="G94" t="s">
        <v>30</v>
      </c>
      <c r="H94" t="s">
        <v>40</v>
      </c>
      <c r="I94">
        <v>1010</v>
      </c>
      <c r="J94" s="1">
        <v>25937</v>
      </c>
      <c r="K94" t="s">
        <v>32</v>
      </c>
      <c r="L94" t="s">
        <v>33</v>
      </c>
      <c r="M94">
        <v>68571</v>
      </c>
      <c r="N94">
        <v>0</v>
      </c>
      <c r="O94" t="s">
        <v>34</v>
      </c>
      <c r="P94">
        <v>1</v>
      </c>
      <c r="Q94">
        <v>20220516</v>
      </c>
      <c r="R94" s="1">
        <v>44697</v>
      </c>
      <c r="S94">
        <v>20220518</v>
      </c>
      <c r="T94" s="1">
        <v>44699</v>
      </c>
      <c r="U94" t="s">
        <v>85</v>
      </c>
      <c r="V94">
        <v>1</v>
      </c>
      <c r="W94">
        <v>1</v>
      </c>
      <c r="X94">
        <v>259</v>
      </c>
      <c r="Y94">
        <v>244</v>
      </c>
      <c r="Z94">
        <v>259</v>
      </c>
    </row>
    <row r="95" spans="1:26" x14ac:dyDescent="0.3">
      <c r="A95">
        <v>144</v>
      </c>
      <c r="B95" t="s">
        <v>36</v>
      </c>
      <c r="C95" t="s">
        <v>37</v>
      </c>
      <c r="D95">
        <v>259</v>
      </c>
      <c r="E95" t="s">
        <v>38</v>
      </c>
      <c r="F95" t="s">
        <v>39</v>
      </c>
      <c r="G95" t="s">
        <v>30</v>
      </c>
      <c r="H95" t="s">
        <v>40</v>
      </c>
      <c r="I95">
        <v>1043</v>
      </c>
      <c r="J95" s="1">
        <v>27266</v>
      </c>
      <c r="K95" t="s">
        <v>48</v>
      </c>
      <c r="L95" t="s">
        <v>49</v>
      </c>
      <c r="M95">
        <v>25072</v>
      </c>
      <c r="N95">
        <v>1</v>
      </c>
      <c r="O95" t="s">
        <v>34</v>
      </c>
      <c r="P95">
        <v>2</v>
      </c>
      <c r="Q95">
        <v>20240106</v>
      </c>
      <c r="R95" s="1">
        <v>45297</v>
      </c>
      <c r="S95">
        <v>20240107</v>
      </c>
      <c r="T95" s="1">
        <v>45298</v>
      </c>
      <c r="U95" t="s">
        <v>95</v>
      </c>
      <c r="V95">
        <v>1</v>
      </c>
      <c r="W95">
        <v>3</v>
      </c>
      <c r="X95">
        <v>259</v>
      </c>
      <c r="Y95">
        <v>250</v>
      </c>
      <c r="Z95">
        <v>777</v>
      </c>
    </row>
    <row r="96" spans="1:26" x14ac:dyDescent="0.3">
      <c r="A96">
        <v>144</v>
      </c>
      <c r="B96" t="s">
        <v>36</v>
      </c>
      <c r="C96" t="s">
        <v>37</v>
      </c>
      <c r="D96">
        <v>259</v>
      </c>
      <c r="E96" t="s">
        <v>38</v>
      </c>
      <c r="F96" t="s">
        <v>39</v>
      </c>
      <c r="G96" t="s">
        <v>30</v>
      </c>
      <c r="H96" t="s">
        <v>40</v>
      </c>
      <c r="I96">
        <v>1022</v>
      </c>
      <c r="J96" s="1">
        <v>26303</v>
      </c>
      <c r="K96" t="s">
        <v>48</v>
      </c>
      <c r="L96" t="s">
        <v>33</v>
      </c>
      <c r="M96">
        <v>52944</v>
      </c>
      <c r="N96">
        <v>3</v>
      </c>
      <c r="O96" t="s">
        <v>34</v>
      </c>
      <c r="P96">
        <v>1</v>
      </c>
      <c r="Q96">
        <v>20220531</v>
      </c>
      <c r="R96" s="1">
        <v>44712</v>
      </c>
      <c r="S96">
        <v>20220603</v>
      </c>
      <c r="T96" s="1">
        <v>44715</v>
      </c>
      <c r="U96" t="s">
        <v>97</v>
      </c>
      <c r="V96">
        <v>1</v>
      </c>
      <c r="W96">
        <v>1</v>
      </c>
      <c r="X96">
        <v>259</v>
      </c>
      <c r="Y96">
        <v>245</v>
      </c>
      <c r="Z96">
        <v>259</v>
      </c>
    </row>
    <row r="97" spans="1:26" x14ac:dyDescent="0.3">
      <c r="A97">
        <v>144</v>
      </c>
      <c r="B97" t="s">
        <v>36</v>
      </c>
      <c r="C97" t="s">
        <v>37</v>
      </c>
      <c r="D97">
        <v>259</v>
      </c>
      <c r="E97" t="s">
        <v>38</v>
      </c>
      <c r="F97" t="s">
        <v>39</v>
      </c>
      <c r="G97" t="s">
        <v>30</v>
      </c>
      <c r="H97" t="s">
        <v>40</v>
      </c>
      <c r="I97">
        <v>1018</v>
      </c>
      <c r="J97" s="1">
        <v>25834</v>
      </c>
      <c r="K97" t="s">
        <v>48</v>
      </c>
      <c r="L97" t="s">
        <v>33</v>
      </c>
      <c r="M97">
        <v>49779</v>
      </c>
      <c r="N97">
        <v>2</v>
      </c>
      <c r="O97" t="s">
        <v>55</v>
      </c>
      <c r="P97">
        <v>0</v>
      </c>
      <c r="Q97">
        <v>20250301</v>
      </c>
      <c r="R97" s="1">
        <v>45717</v>
      </c>
      <c r="S97">
        <v>20250302</v>
      </c>
      <c r="T97" s="1">
        <v>45718</v>
      </c>
      <c r="U97" t="s">
        <v>103</v>
      </c>
      <c r="V97">
        <v>1</v>
      </c>
      <c r="W97">
        <v>4</v>
      </c>
      <c r="X97">
        <v>259</v>
      </c>
      <c r="Y97">
        <v>245</v>
      </c>
      <c r="Z97">
        <v>1036</v>
      </c>
    </row>
    <row r="98" spans="1:26" x14ac:dyDescent="0.3">
      <c r="A98">
        <v>144</v>
      </c>
      <c r="B98" t="s">
        <v>36</v>
      </c>
      <c r="C98" t="s">
        <v>37</v>
      </c>
      <c r="D98">
        <v>259</v>
      </c>
      <c r="E98" t="s">
        <v>38</v>
      </c>
      <c r="F98" t="s">
        <v>39</v>
      </c>
      <c r="G98" t="s">
        <v>30</v>
      </c>
      <c r="H98" t="s">
        <v>40</v>
      </c>
      <c r="I98">
        <v>1049</v>
      </c>
      <c r="J98" s="1">
        <v>31447</v>
      </c>
      <c r="K98" t="s">
        <v>48</v>
      </c>
      <c r="L98" t="s">
        <v>33</v>
      </c>
      <c r="M98">
        <v>37462</v>
      </c>
      <c r="N98">
        <v>2</v>
      </c>
      <c r="O98" t="s">
        <v>34</v>
      </c>
      <c r="P98">
        <v>0</v>
      </c>
      <c r="Q98">
        <v>20240405</v>
      </c>
      <c r="R98" s="1">
        <v>45387</v>
      </c>
      <c r="S98">
        <v>20240408</v>
      </c>
      <c r="T98" s="1">
        <v>45390</v>
      </c>
      <c r="U98" t="s">
        <v>137</v>
      </c>
      <c r="V98">
        <v>1</v>
      </c>
      <c r="W98">
        <v>3</v>
      </c>
      <c r="X98">
        <v>259</v>
      </c>
      <c r="Y98">
        <v>244</v>
      </c>
      <c r="Z98">
        <v>777</v>
      </c>
    </row>
    <row r="99" spans="1:26" x14ac:dyDescent="0.3">
      <c r="A99">
        <v>144</v>
      </c>
      <c r="B99" t="s">
        <v>36</v>
      </c>
      <c r="C99" t="s">
        <v>37</v>
      </c>
      <c r="D99">
        <v>259</v>
      </c>
      <c r="E99" t="s">
        <v>38</v>
      </c>
      <c r="F99" t="s">
        <v>39</v>
      </c>
      <c r="G99" t="s">
        <v>30</v>
      </c>
      <c r="H99" t="s">
        <v>40</v>
      </c>
      <c r="I99">
        <v>1043</v>
      </c>
      <c r="J99" s="1">
        <v>27266</v>
      </c>
      <c r="K99" t="s">
        <v>48</v>
      </c>
      <c r="L99" t="s">
        <v>49</v>
      </c>
      <c r="M99">
        <v>25072</v>
      </c>
      <c r="N99">
        <v>1</v>
      </c>
      <c r="O99" t="s">
        <v>34</v>
      </c>
      <c r="P99">
        <v>2</v>
      </c>
      <c r="Q99">
        <v>20220615</v>
      </c>
      <c r="R99" s="1">
        <v>44727</v>
      </c>
      <c r="S99">
        <v>20220618</v>
      </c>
      <c r="T99" s="1">
        <v>44730</v>
      </c>
      <c r="U99" t="s">
        <v>145</v>
      </c>
      <c r="V99">
        <v>1</v>
      </c>
      <c r="W99">
        <v>4</v>
      </c>
      <c r="X99">
        <v>259</v>
      </c>
      <c r="Y99">
        <v>244</v>
      </c>
      <c r="Z99">
        <v>1036</v>
      </c>
    </row>
    <row r="100" spans="1:26" x14ac:dyDescent="0.3">
      <c r="A100">
        <v>144</v>
      </c>
      <c r="B100" t="s">
        <v>36</v>
      </c>
      <c r="C100" t="s">
        <v>37</v>
      </c>
      <c r="D100">
        <v>259</v>
      </c>
      <c r="E100" t="s">
        <v>38</v>
      </c>
      <c r="F100" t="s">
        <v>39</v>
      </c>
      <c r="G100" t="s">
        <v>30</v>
      </c>
      <c r="H100" t="s">
        <v>40</v>
      </c>
      <c r="I100">
        <v>1010</v>
      </c>
      <c r="J100" s="1">
        <v>25937</v>
      </c>
      <c r="K100" t="s">
        <v>32</v>
      </c>
      <c r="L100" t="s">
        <v>33</v>
      </c>
      <c r="M100">
        <v>68571</v>
      </c>
      <c r="N100">
        <v>0</v>
      </c>
      <c r="O100" t="s">
        <v>34</v>
      </c>
      <c r="P100">
        <v>1</v>
      </c>
      <c r="Q100">
        <v>20220302</v>
      </c>
      <c r="R100" s="1">
        <v>44622</v>
      </c>
      <c r="S100">
        <v>20220303</v>
      </c>
      <c r="T100" s="1">
        <v>44623</v>
      </c>
      <c r="U100" t="s">
        <v>146</v>
      </c>
      <c r="V100">
        <v>1</v>
      </c>
      <c r="W100">
        <v>3</v>
      </c>
      <c r="X100">
        <v>259</v>
      </c>
      <c r="Y100">
        <v>246</v>
      </c>
      <c r="Z100">
        <v>777</v>
      </c>
    </row>
    <row r="101" spans="1:26" x14ac:dyDescent="0.3">
      <c r="A101">
        <v>144</v>
      </c>
      <c r="B101" t="s">
        <v>36</v>
      </c>
      <c r="C101" t="s">
        <v>37</v>
      </c>
      <c r="D101">
        <v>259</v>
      </c>
      <c r="E101" t="s">
        <v>38</v>
      </c>
      <c r="F101" t="s">
        <v>39</v>
      </c>
      <c r="G101" t="s">
        <v>30</v>
      </c>
      <c r="H101" t="s">
        <v>40</v>
      </c>
      <c r="I101">
        <v>1043</v>
      </c>
      <c r="J101" s="1">
        <v>27266</v>
      </c>
      <c r="K101" t="s">
        <v>48</v>
      </c>
      <c r="L101" t="s">
        <v>49</v>
      </c>
      <c r="M101">
        <v>25072</v>
      </c>
      <c r="N101">
        <v>1</v>
      </c>
      <c r="O101" t="s">
        <v>34</v>
      </c>
      <c r="P101">
        <v>2</v>
      </c>
      <c r="Q101">
        <v>20240121</v>
      </c>
      <c r="R101" s="1">
        <v>45312</v>
      </c>
      <c r="S101">
        <v>20240122</v>
      </c>
      <c r="T101" s="1">
        <v>45313</v>
      </c>
      <c r="U101" t="s">
        <v>161</v>
      </c>
      <c r="V101">
        <v>1</v>
      </c>
      <c r="W101">
        <v>3</v>
      </c>
      <c r="X101">
        <v>259</v>
      </c>
      <c r="Y101">
        <v>248</v>
      </c>
      <c r="Z101">
        <v>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5D35-7F55-4035-911D-678FE7869E3E}">
  <dimension ref="A1:H10"/>
  <sheetViews>
    <sheetView workbookViewId="0">
      <selection sqref="A1:H10"/>
    </sheetView>
  </sheetViews>
  <sheetFormatPr defaultRowHeight="14.4" x14ac:dyDescent="0.3"/>
  <cols>
    <col min="1" max="1" width="12.77734375" bestFit="1" customWidth="1"/>
    <col min="2" max="2" width="14.44140625" bestFit="1" customWidth="1"/>
    <col min="3" max="3" width="15.109375" bestFit="1" customWidth="1"/>
    <col min="4" max="4" width="10.88671875" bestFit="1" customWidth="1"/>
    <col min="5" max="5" width="7.6640625" bestFit="1" customWidth="1"/>
    <col min="6" max="6" width="7.44140625" bestFit="1" customWidth="1"/>
    <col min="7" max="7" width="10.88671875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105</v>
      </c>
      <c r="B2" t="s">
        <v>26</v>
      </c>
      <c r="C2" t="s">
        <v>27</v>
      </c>
      <c r="D2">
        <v>165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3">
      <c r="A3">
        <v>144</v>
      </c>
      <c r="B3" t="s">
        <v>36</v>
      </c>
      <c r="C3" t="s">
        <v>37</v>
      </c>
      <c r="D3">
        <v>259</v>
      </c>
      <c r="E3" t="s">
        <v>38</v>
      </c>
      <c r="F3" t="s">
        <v>39</v>
      </c>
      <c r="G3" t="s">
        <v>30</v>
      </c>
      <c r="H3" t="s">
        <v>40</v>
      </c>
    </row>
    <row r="4" spans="1:8" x14ac:dyDescent="0.3">
      <c r="A4">
        <v>112</v>
      </c>
      <c r="B4" t="s">
        <v>42</v>
      </c>
      <c r="C4" t="s">
        <v>43</v>
      </c>
      <c r="D4">
        <v>465</v>
      </c>
      <c r="E4" t="s">
        <v>44</v>
      </c>
      <c r="F4" t="s">
        <v>45</v>
      </c>
      <c r="G4" t="s">
        <v>46</v>
      </c>
      <c r="H4" t="s">
        <v>47</v>
      </c>
    </row>
    <row r="5" spans="1:8" x14ac:dyDescent="0.3">
      <c r="A5">
        <v>119</v>
      </c>
      <c r="B5" t="s">
        <v>51</v>
      </c>
      <c r="C5" t="s">
        <v>52</v>
      </c>
      <c r="D5">
        <v>282</v>
      </c>
      <c r="E5" t="s">
        <v>53</v>
      </c>
      <c r="F5" t="s">
        <v>39</v>
      </c>
      <c r="G5" t="s">
        <v>46</v>
      </c>
      <c r="H5" t="s">
        <v>54</v>
      </c>
    </row>
    <row r="6" spans="1:8" x14ac:dyDescent="0.3">
      <c r="A6">
        <v>121</v>
      </c>
      <c r="B6" t="s">
        <v>57</v>
      </c>
      <c r="C6" t="s">
        <v>58</v>
      </c>
      <c r="D6">
        <v>215</v>
      </c>
      <c r="E6" t="s">
        <v>28</v>
      </c>
      <c r="F6" t="s">
        <v>45</v>
      </c>
      <c r="G6" t="s">
        <v>46</v>
      </c>
      <c r="H6" t="s">
        <v>47</v>
      </c>
    </row>
    <row r="7" spans="1:8" x14ac:dyDescent="0.3">
      <c r="A7">
        <v>114</v>
      </c>
      <c r="B7" t="s">
        <v>60</v>
      </c>
      <c r="C7" t="s">
        <v>61</v>
      </c>
      <c r="D7">
        <v>253</v>
      </c>
      <c r="E7" t="s">
        <v>53</v>
      </c>
      <c r="F7" t="s">
        <v>29</v>
      </c>
      <c r="G7" t="s">
        <v>46</v>
      </c>
      <c r="H7" t="s">
        <v>47</v>
      </c>
    </row>
    <row r="8" spans="1:8" x14ac:dyDescent="0.3">
      <c r="A8">
        <v>141</v>
      </c>
      <c r="B8" t="s">
        <v>66</v>
      </c>
      <c r="C8" t="s">
        <v>67</v>
      </c>
      <c r="D8">
        <v>66</v>
      </c>
      <c r="E8" t="s">
        <v>28</v>
      </c>
      <c r="F8" t="s">
        <v>45</v>
      </c>
      <c r="G8" t="s">
        <v>30</v>
      </c>
      <c r="H8" t="s">
        <v>68</v>
      </c>
    </row>
    <row r="9" spans="1:8" x14ac:dyDescent="0.3">
      <c r="A9">
        <v>128</v>
      </c>
      <c r="B9" t="s">
        <v>71</v>
      </c>
      <c r="C9" t="s">
        <v>72</v>
      </c>
      <c r="D9">
        <v>401</v>
      </c>
      <c r="E9" t="s">
        <v>53</v>
      </c>
      <c r="F9" t="s">
        <v>45</v>
      </c>
      <c r="G9" t="s">
        <v>46</v>
      </c>
      <c r="H9" t="s">
        <v>73</v>
      </c>
    </row>
    <row r="10" spans="1:8" x14ac:dyDescent="0.3">
      <c r="A10">
        <v>118</v>
      </c>
      <c r="B10" t="s">
        <v>80</v>
      </c>
      <c r="C10" t="s">
        <v>81</v>
      </c>
      <c r="D10">
        <v>63</v>
      </c>
      <c r="E10" t="s">
        <v>28</v>
      </c>
      <c r="F10" t="s">
        <v>29</v>
      </c>
      <c r="G10" t="s">
        <v>30</v>
      </c>
      <c r="H10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82BB-C967-45D9-ACF5-21929D13DE52}">
  <dimension ref="A1:H11"/>
  <sheetViews>
    <sheetView workbookViewId="0">
      <selection sqref="A1:H11"/>
    </sheetView>
  </sheetViews>
  <sheetFormatPr defaultRowHeight="14.4" x14ac:dyDescent="0.3"/>
  <cols>
    <col min="1" max="1" width="14.33203125" bestFit="1" customWidth="1"/>
    <col min="2" max="2" width="11.44140625" bestFit="1" customWidth="1"/>
    <col min="3" max="3" width="14.77734375" bestFit="1" customWidth="1"/>
    <col min="4" max="4" width="9.33203125" bestFit="1" customWidth="1"/>
    <col min="5" max="5" width="9.44140625" bestFit="1" customWidth="1"/>
    <col min="6" max="6" width="10.33203125" bestFit="1" customWidth="1"/>
    <col min="7" max="7" width="13.88671875" bestFit="1" customWidth="1"/>
    <col min="8" max="8" width="7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1010</v>
      </c>
      <c r="B2" s="1">
        <v>25937</v>
      </c>
      <c r="C2" t="s">
        <v>32</v>
      </c>
      <c r="D2" t="s">
        <v>33</v>
      </c>
      <c r="E2">
        <v>68571</v>
      </c>
      <c r="F2">
        <v>0</v>
      </c>
      <c r="G2" t="s">
        <v>34</v>
      </c>
      <c r="H2">
        <v>1</v>
      </c>
    </row>
    <row r="3" spans="1:8" x14ac:dyDescent="0.3">
      <c r="A3">
        <v>1014</v>
      </c>
      <c r="B3" s="1">
        <v>29531</v>
      </c>
      <c r="C3" t="s">
        <v>48</v>
      </c>
      <c r="D3" t="s">
        <v>49</v>
      </c>
      <c r="E3">
        <v>38460</v>
      </c>
      <c r="F3">
        <v>0</v>
      </c>
      <c r="G3" t="s">
        <v>34</v>
      </c>
      <c r="H3">
        <v>0</v>
      </c>
    </row>
    <row r="4" spans="1:8" x14ac:dyDescent="0.3">
      <c r="A4">
        <v>1002</v>
      </c>
      <c r="B4" s="1">
        <v>32675</v>
      </c>
      <c r="C4" t="s">
        <v>48</v>
      </c>
      <c r="D4" t="s">
        <v>49</v>
      </c>
      <c r="E4">
        <v>64715</v>
      </c>
      <c r="F4">
        <v>1</v>
      </c>
      <c r="G4" t="s">
        <v>55</v>
      </c>
      <c r="H4">
        <v>1</v>
      </c>
    </row>
    <row r="5" spans="1:8" x14ac:dyDescent="0.3">
      <c r="A5">
        <v>1043</v>
      </c>
      <c r="B5" s="1">
        <v>27266</v>
      </c>
      <c r="C5" t="s">
        <v>48</v>
      </c>
      <c r="D5" t="s">
        <v>49</v>
      </c>
      <c r="E5">
        <v>25072</v>
      </c>
      <c r="F5">
        <v>1</v>
      </c>
      <c r="G5" t="s">
        <v>34</v>
      </c>
      <c r="H5">
        <v>2</v>
      </c>
    </row>
    <row r="6" spans="1:8" x14ac:dyDescent="0.3">
      <c r="A6">
        <v>1022</v>
      </c>
      <c r="B6" s="1">
        <v>26303</v>
      </c>
      <c r="C6" t="s">
        <v>48</v>
      </c>
      <c r="D6" t="s">
        <v>33</v>
      </c>
      <c r="E6">
        <v>52944</v>
      </c>
      <c r="F6">
        <v>3</v>
      </c>
      <c r="G6" t="s">
        <v>34</v>
      </c>
      <c r="H6">
        <v>1</v>
      </c>
    </row>
    <row r="7" spans="1:8" x14ac:dyDescent="0.3">
      <c r="A7">
        <v>1007</v>
      </c>
      <c r="B7" s="1">
        <v>30201</v>
      </c>
      <c r="C7" t="s">
        <v>32</v>
      </c>
      <c r="D7" t="s">
        <v>49</v>
      </c>
      <c r="E7">
        <v>72282</v>
      </c>
      <c r="F7">
        <v>4</v>
      </c>
      <c r="G7" t="s">
        <v>34</v>
      </c>
      <c r="H7">
        <v>3</v>
      </c>
    </row>
    <row r="8" spans="1:8" x14ac:dyDescent="0.3">
      <c r="A8">
        <v>1030</v>
      </c>
      <c r="B8" s="1">
        <v>29588</v>
      </c>
      <c r="C8" t="s">
        <v>48</v>
      </c>
      <c r="D8" t="s">
        <v>49</v>
      </c>
      <c r="E8">
        <v>51346</v>
      </c>
      <c r="F8">
        <v>2</v>
      </c>
      <c r="G8" t="s">
        <v>34</v>
      </c>
      <c r="H8">
        <v>1</v>
      </c>
    </row>
    <row r="9" spans="1:8" x14ac:dyDescent="0.3">
      <c r="A9">
        <v>1016</v>
      </c>
      <c r="B9" s="1">
        <v>33863</v>
      </c>
      <c r="C9" t="s">
        <v>48</v>
      </c>
      <c r="D9" t="s">
        <v>49</v>
      </c>
      <c r="E9">
        <v>50603</v>
      </c>
      <c r="F9">
        <v>1</v>
      </c>
      <c r="G9" t="s">
        <v>55</v>
      </c>
      <c r="H9">
        <v>0</v>
      </c>
    </row>
    <row r="10" spans="1:8" x14ac:dyDescent="0.3">
      <c r="A10">
        <v>1049</v>
      </c>
      <c r="B10" s="1">
        <v>31447</v>
      </c>
      <c r="C10" t="s">
        <v>48</v>
      </c>
      <c r="D10" t="s">
        <v>33</v>
      </c>
      <c r="E10">
        <v>37462</v>
      </c>
      <c r="F10">
        <v>2</v>
      </c>
      <c r="G10" t="s">
        <v>34</v>
      </c>
      <c r="H10">
        <v>0</v>
      </c>
    </row>
    <row r="11" spans="1:8" x14ac:dyDescent="0.3">
      <c r="A11">
        <v>1018</v>
      </c>
      <c r="B11" s="1">
        <v>25834</v>
      </c>
      <c r="C11" t="s">
        <v>48</v>
      </c>
      <c r="D11" t="s">
        <v>33</v>
      </c>
      <c r="E11">
        <v>49779</v>
      </c>
      <c r="F11">
        <v>2</v>
      </c>
      <c r="G11" t="s">
        <v>55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82E8-AFF2-49DF-9EBC-235E7103241D}">
  <dimension ref="A1:E62"/>
  <sheetViews>
    <sheetView workbookViewId="0">
      <selection activeCell="L54" sqref="L54"/>
    </sheetView>
  </sheetViews>
  <sheetFormatPr defaultRowHeight="14.4" x14ac:dyDescent="0.3"/>
  <cols>
    <col min="1" max="1" width="14.88671875" bestFit="1" customWidth="1"/>
    <col min="2" max="2" width="12.21875" bestFit="1" customWidth="1"/>
    <col min="5" max="5" width="15.88671875" customWidth="1"/>
  </cols>
  <sheetData>
    <row r="1" spans="1:5" x14ac:dyDescent="0.3">
      <c r="A1" t="s">
        <v>16</v>
      </c>
      <c r="B1" t="s">
        <v>168</v>
      </c>
      <c r="C1" t="s">
        <v>165</v>
      </c>
      <c r="D1" t="s">
        <v>166</v>
      </c>
      <c r="E1" t="s">
        <v>167</v>
      </c>
    </row>
    <row r="2" spans="1:5" x14ac:dyDescent="0.3">
      <c r="A2">
        <v>20220131</v>
      </c>
      <c r="B2" s="1">
        <v>44592</v>
      </c>
      <c r="C2">
        <f t="shared" ref="C2:C33" si="0">YEAR(B2)</f>
        <v>2022</v>
      </c>
      <c r="D2">
        <f>MONTH(B2)</f>
        <v>1</v>
      </c>
      <c r="E2" t="str">
        <f>TEXT(B2,"MMMM")</f>
        <v>January</v>
      </c>
    </row>
    <row r="3" spans="1:5" x14ac:dyDescent="0.3">
      <c r="A3">
        <v>20250629</v>
      </c>
      <c r="B3" s="1">
        <v>45837</v>
      </c>
      <c r="C3">
        <f t="shared" si="0"/>
        <v>2025</v>
      </c>
      <c r="D3">
        <f t="shared" ref="D3:D62" si="1">MONTH(B3)</f>
        <v>6</v>
      </c>
      <c r="E3" t="str">
        <f t="shared" ref="E3:E62" si="2">TEXT(B3,"MMMM")</f>
        <v>June</v>
      </c>
    </row>
    <row r="4" spans="1:5" x14ac:dyDescent="0.3">
      <c r="A4">
        <v>20250130</v>
      </c>
      <c r="B4" s="1">
        <v>45687</v>
      </c>
      <c r="C4">
        <f t="shared" si="0"/>
        <v>2025</v>
      </c>
      <c r="D4">
        <f t="shared" si="1"/>
        <v>1</v>
      </c>
      <c r="E4" t="str">
        <f t="shared" si="2"/>
        <v>January</v>
      </c>
    </row>
    <row r="5" spans="1:5" x14ac:dyDescent="0.3">
      <c r="A5">
        <v>20221227</v>
      </c>
      <c r="B5" s="1">
        <v>44922</v>
      </c>
      <c r="C5">
        <f t="shared" si="0"/>
        <v>2022</v>
      </c>
      <c r="D5">
        <f t="shared" si="1"/>
        <v>12</v>
      </c>
      <c r="E5" t="str">
        <f t="shared" si="2"/>
        <v>December</v>
      </c>
    </row>
    <row r="6" spans="1:5" x14ac:dyDescent="0.3">
      <c r="A6">
        <v>20240902</v>
      </c>
      <c r="B6" s="1">
        <v>45537</v>
      </c>
      <c r="C6">
        <f t="shared" si="0"/>
        <v>2024</v>
      </c>
      <c r="D6">
        <f t="shared" si="1"/>
        <v>9</v>
      </c>
      <c r="E6" t="str">
        <f t="shared" si="2"/>
        <v>September</v>
      </c>
    </row>
    <row r="7" spans="1:5" x14ac:dyDescent="0.3">
      <c r="A7">
        <v>20251027</v>
      </c>
      <c r="B7" s="1">
        <v>45957</v>
      </c>
      <c r="C7">
        <f t="shared" si="0"/>
        <v>2025</v>
      </c>
      <c r="D7">
        <f t="shared" si="1"/>
        <v>10</v>
      </c>
      <c r="E7" t="str">
        <f t="shared" si="2"/>
        <v>October</v>
      </c>
    </row>
    <row r="8" spans="1:5" x14ac:dyDescent="0.3">
      <c r="A8">
        <v>20220501</v>
      </c>
      <c r="B8" s="1">
        <v>44682</v>
      </c>
      <c r="C8">
        <f t="shared" si="0"/>
        <v>2022</v>
      </c>
      <c r="D8">
        <f t="shared" si="1"/>
        <v>5</v>
      </c>
      <c r="E8" t="str">
        <f t="shared" si="2"/>
        <v>May</v>
      </c>
    </row>
    <row r="9" spans="1:5" x14ac:dyDescent="0.3">
      <c r="A9">
        <v>20250430</v>
      </c>
      <c r="B9" s="1">
        <v>45777</v>
      </c>
      <c r="C9">
        <f t="shared" si="0"/>
        <v>2025</v>
      </c>
      <c r="D9">
        <f t="shared" si="1"/>
        <v>4</v>
      </c>
      <c r="E9" t="str">
        <f t="shared" si="2"/>
        <v>April</v>
      </c>
    </row>
    <row r="10" spans="1:5" x14ac:dyDescent="0.3">
      <c r="A10">
        <v>20240604</v>
      </c>
      <c r="B10" s="1">
        <v>45447</v>
      </c>
      <c r="C10">
        <f t="shared" si="0"/>
        <v>2024</v>
      </c>
      <c r="D10">
        <f t="shared" si="1"/>
        <v>6</v>
      </c>
      <c r="E10" t="str">
        <f t="shared" si="2"/>
        <v>June</v>
      </c>
    </row>
    <row r="11" spans="1:5" x14ac:dyDescent="0.3">
      <c r="A11">
        <v>20220615</v>
      </c>
      <c r="B11" s="1">
        <v>44727</v>
      </c>
      <c r="C11">
        <f t="shared" si="0"/>
        <v>2022</v>
      </c>
      <c r="D11">
        <f t="shared" si="1"/>
        <v>6</v>
      </c>
      <c r="E11" t="str">
        <f t="shared" si="2"/>
        <v>June</v>
      </c>
    </row>
    <row r="12" spans="1:5" x14ac:dyDescent="0.3">
      <c r="A12">
        <v>20230526</v>
      </c>
      <c r="B12" s="1">
        <v>45072</v>
      </c>
      <c r="C12">
        <f t="shared" si="0"/>
        <v>2023</v>
      </c>
      <c r="D12">
        <f t="shared" si="1"/>
        <v>5</v>
      </c>
      <c r="E12" t="str">
        <f t="shared" si="2"/>
        <v>May</v>
      </c>
    </row>
    <row r="13" spans="1:5" x14ac:dyDescent="0.3">
      <c r="A13">
        <v>20240220</v>
      </c>
      <c r="B13" s="1">
        <v>45342</v>
      </c>
      <c r="C13">
        <f t="shared" si="0"/>
        <v>2024</v>
      </c>
      <c r="D13">
        <f t="shared" si="1"/>
        <v>2</v>
      </c>
      <c r="E13" t="str">
        <f t="shared" si="2"/>
        <v>February</v>
      </c>
    </row>
    <row r="14" spans="1:5" x14ac:dyDescent="0.3">
      <c r="A14">
        <v>20220913</v>
      </c>
      <c r="B14" s="1">
        <v>44817</v>
      </c>
      <c r="C14">
        <f t="shared" si="0"/>
        <v>2022</v>
      </c>
      <c r="D14">
        <f t="shared" si="1"/>
        <v>9</v>
      </c>
      <c r="E14" t="str">
        <f t="shared" si="2"/>
        <v>September</v>
      </c>
    </row>
    <row r="15" spans="1:5" x14ac:dyDescent="0.3">
      <c r="A15">
        <v>20220730</v>
      </c>
      <c r="B15" s="1">
        <v>44772</v>
      </c>
      <c r="C15">
        <f t="shared" si="0"/>
        <v>2022</v>
      </c>
      <c r="D15">
        <f t="shared" si="1"/>
        <v>7</v>
      </c>
      <c r="E15" t="str">
        <f t="shared" si="2"/>
        <v>July</v>
      </c>
    </row>
    <row r="16" spans="1:5" x14ac:dyDescent="0.3">
      <c r="A16">
        <v>20240405</v>
      </c>
      <c r="B16" s="1">
        <v>45387</v>
      </c>
      <c r="C16">
        <f t="shared" si="0"/>
        <v>2024</v>
      </c>
      <c r="D16">
        <f t="shared" si="1"/>
        <v>4</v>
      </c>
      <c r="E16" t="str">
        <f t="shared" si="2"/>
        <v>April</v>
      </c>
    </row>
    <row r="17" spans="1:5" x14ac:dyDescent="0.3">
      <c r="A17">
        <v>20250614</v>
      </c>
      <c r="B17" s="1">
        <v>45822</v>
      </c>
      <c r="C17">
        <f t="shared" si="0"/>
        <v>2025</v>
      </c>
      <c r="D17">
        <f t="shared" si="1"/>
        <v>6</v>
      </c>
      <c r="E17" t="str">
        <f t="shared" si="2"/>
        <v>June</v>
      </c>
    </row>
    <row r="18" spans="1:5" x14ac:dyDescent="0.3">
      <c r="A18">
        <v>20220215</v>
      </c>
      <c r="B18" s="1">
        <v>44607</v>
      </c>
      <c r="C18">
        <f t="shared" si="0"/>
        <v>2022</v>
      </c>
      <c r="D18">
        <f t="shared" si="1"/>
        <v>2</v>
      </c>
      <c r="E18" t="str">
        <f t="shared" si="2"/>
        <v>February</v>
      </c>
    </row>
    <row r="19" spans="1:5" x14ac:dyDescent="0.3">
      <c r="A19">
        <v>20240420</v>
      </c>
      <c r="B19" s="1">
        <v>45402</v>
      </c>
      <c r="C19">
        <f t="shared" si="0"/>
        <v>2024</v>
      </c>
      <c r="D19">
        <f t="shared" si="1"/>
        <v>4</v>
      </c>
      <c r="E19" t="str">
        <f t="shared" si="2"/>
        <v>April</v>
      </c>
    </row>
    <row r="20" spans="1:5" x14ac:dyDescent="0.3">
      <c r="A20">
        <v>20230908</v>
      </c>
      <c r="B20" s="1">
        <v>45177</v>
      </c>
      <c r="C20">
        <f t="shared" si="0"/>
        <v>2023</v>
      </c>
      <c r="D20">
        <f t="shared" si="1"/>
        <v>9</v>
      </c>
      <c r="E20" t="str">
        <f t="shared" si="2"/>
        <v>September</v>
      </c>
    </row>
    <row r="21" spans="1:5" x14ac:dyDescent="0.3">
      <c r="A21">
        <v>20220302</v>
      </c>
      <c r="B21" s="1">
        <v>44622</v>
      </c>
      <c r="C21">
        <f t="shared" si="0"/>
        <v>2022</v>
      </c>
      <c r="D21">
        <f t="shared" si="1"/>
        <v>3</v>
      </c>
      <c r="E21" t="str">
        <f t="shared" si="2"/>
        <v>March</v>
      </c>
    </row>
    <row r="22" spans="1:5" x14ac:dyDescent="0.3">
      <c r="A22">
        <v>20240505</v>
      </c>
      <c r="B22" s="1">
        <v>45417</v>
      </c>
      <c r="C22">
        <f t="shared" si="0"/>
        <v>2024</v>
      </c>
      <c r="D22">
        <f t="shared" si="1"/>
        <v>5</v>
      </c>
      <c r="E22" t="str">
        <f t="shared" si="2"/>
        <v>May</v>
      </c>
    </row>
    <row r="23" spans="1:5" x14ac:dyDescent="0.3">
      <c r="A23">
        <v>20240704</v>
      </c>
      <c r="B23" s="1">
        <v>45477</v>
      </c>
      <c r="C23">
        <f t="shared" si="0"/>
        <v>2024</v>
      </c>
      <c r="D23">
        <f t="shared" si="1"/>
        <v>7</v>
      </c>
      <c r="E23" t="str">
        <f t="shared" si="2"/>
        <v>July</v>
      </c>
    </row>
    <row r="24" spans="1:5" x14ac:dyDescent="0.3">
      <c r="A24">
        <v>20240121</v>
      </c>
      <c r="B24" s="1">
        <v>45312</v>
      </c>
      <c r="C24">
        <f t="shared" si="0"/>
        <v>2024</v>
      </c>
      <c r="D24">
        <f t="shared" si="1"/>
        <v>1</v>
      </c>
      <c r="E24" t="str">
        <f t="shared" si="2"/>
        <v>January</v>
      </c>
    </row>
    <row r="25" spans="1:5" x14ac:dyDescent="0.3">
      <c r="A25">
        <v>20240205</v>
      </c>
      <c r="B25" s="1">
        <v>45327</v>
      </c>
      <c r="C25">
        <f t="shared" si="0"/>
        <v>2024</v>
      </c>
      <c r="D25">
        <f t="shared" si="1"/>
        <v>2</v>
      </c>
      <c r="E25" t="str">
        <f t="shared" si="2"/>
        <v>February</v>
      </c>
    </row>
    <row r="26" spans="1:5" x14ac:dyDescent="0.3">
      <c r="A26">
        <v>20250331</v>
      </c>
      <c r="B26" s="1">
        <v>45747</v>
      </c>
      <c r="C26">
        <f t="shared" si="0"/>
        <v>2025</v>
      </c>
      <c r="D26">
        <f t="shared" si="1"/>
        <v>3</v>
      </c>
      <c r="E26" t="str">
        <f t="shared" si="2"/>
        <v>March</v>
      </c>
    </row>
    <row r="27" spans="1:5" x14ac:dyDescent="0.3">
      <c r="A27">
        <v>20251211</v>
      </c>
      <c r="B27" s="1">
        <v>46002</v>
      </c>
      <c r="C27">
        <f t="shared" si="0"/>
        <v>2025</v>
      </c>
      <c r="D27">
        <f t="shared" si="1"/>
        <v>12</v>
      </c>
      <c r="E27" t="str">
        <f t="shared" si="2"/>
        <v>December</v>
      </c>
    </row>
    <row r="28" spans="1:5" x14ac:dyDescent="0.3">
      <c r="A28">
        <v>20221013</v>
      </c>
      <c r="B28" s="1">
        <v>44847</v>
      </c>
      <c r="C28">
        <f t="shared" si="0"/>
        <v>2022</v>
      </c>
      <c r="D28">
        <f t="shared" si="1"/>
        <v>10</v>
      </c>
      <c r="E28" t="str">
        <f t="shared" si="2"/>
        <v>October</v>
      </c>
    </row>
    <row r="29" spans="1:5" x14ac:dyDescent="0.3">
      <c r="A29">
        <v>20250316</v>
      </c>
      <c r="B29" s="1">
        <v>45732</v>
      </c>
      <c r="C29">
        <f t="shared" si="0"/>
        <v>2025</v>
      </c>
      <c r="D29">
        <f t="shared" si="1"/>
        <v>3</v>
      </c>
      <c r="E29" t="str">
        <f t="shared" si="2"/>
        <v>March</v>
      </c>
    </row>
    <row r="30" spans="1:5" x14ac:dyDescent="0.3">
      <c r="A30">
        <v>20221212</v>
      </c>
      <c r="B30" s="1">
        <v>44907</v>
      </c>
      <c r="C30">
        <f t="shared" si="0"/>
        <v>2022</v>
      </c>
      <c r="D30">
        <f t="shared" si="1"/>
        <v>12</v>
      </c>
      <c r="E30" t="str">
        <f t="shared" si="2"/>
        <v>December</v>
      </c>
    </row>
    <row r="31" spans="1:5" x14ac:dyDescent="0.3">
      <c r="A31">
        <v>20240803</v>
      </c>
      <c r="B31" s="1">
        <v>45507</v>
      </c>
      <c r="C31">
        <f t="shared" si="0"/>
        <v>2024</v>
      </c>
      <c r="D31">
        <f t="shared" si="1"/>
        <v>8</v>
      </c>
      <c r="E31" t="str">
        <f t="shared" si="2"/>
        <v>August</v>
      </c>
    </row>
    <row r="32" spans="1:5" x14ac:dyDescent="0.3">
      <c r="A32">
        <v>20231207</v>
      </c>
      <c r="B32" s="1">
        <v>45267</v>
      </c>
      <c r="C32">
        <f t="shared" si="0"/>
        <v>2023</v>
      </c>
      <c r="D32">
        <f t="shared" si="1"/>
        <v>12</v>
      </c>
      <c r="E32" t="str">
        <f t="shared" si="2"/>
        <v>December</v>
      </c>
    </row>
    <row r="33" spans="1:5" x14ac:dyDescent="0.3">
      <c r="A33">
        <v>20240619</v>
      </c>
      <c r="B33" s="1">
        <v>45462</v>
      </c>
      <c r="C33">
        <f t="shared" si="0"/>
        <v>2024</v>
      </c>
      <c r="D33">
        <f t="shared" si="1"/>
        <v>6</v>
      </c>
      <c r="E33" t="str">
        <f t="shared" si="2"/>
        <v>June</v>
      </c>
    </row>
    <row r="34" spans="1:5" x14ac:dyDescent="0.3">
      <c r="A34">
        <v>20220317</v>
      </c>
      <c r="B34" s="1">
        <v>44637</v>
      </c>
      <c r="C34">
        <f t="shared" ref="C34:C65" si="3">YEAR(B34)</f>
        <v>2022</v>
      </c>
      <c r="D34">
        <f t="shared" si="1"/>
        <v>3</v>
      </c>
      <c r="E34" t="str">
        <f t="shared" si="2"/>
        <v>March</v>
      </c>
    </row>
    <row r="35" spans="1:5" x14ac:dyDescent="0.3">
      <c r="A35">
        <v>20220630</v>
      </c>
      <c r="B35" s="1">
        <v>44742</v>
      </c>
      <c r="C35">
        <f t="shared" si="3"/>
        <v>2022</v>
      </c>
      <c r="D35">
        <f t="shared" si="1"/>
        <v>6</v>
      </c>
      <c r="E35" t="str">
        <f t="shared" si="2"/>
        <v>June</v>
      </c>
    </row>
    <row r="36" spans="1:5" x14ac:dyDescent="0.3">
      <c r="A36">
        <v>20250912</v>
      </c>
      <c r="B36" s="1">
        <v>45912</v>
      </c>
      <c r="C36">
        <f t="shared" si="3"/>
        <v>2025</v>
      </c>
      <c r="D36">
        <f t="shared" si="1"/>
        <v>9</v>
      </c>
      <c r="E36" t="str">
        <f t="shared" si="2"/>
        <v>September</v>
      </c>
    </row>
    <row r="37" spans="1:5" x14ac:dyDescent="0.3">
      <c r="A37">
        <v>20241101</v>
      </c>
      <c r="B37" s="1">
        <v>45597</v>
      </c>
      <c r="C37">
        <f t="shared" si="3"/>
        <v>2024</v>
      </c>
      <c r="D37">
        <f t="shared" si="1"/>
        <v>11</v>
      </c>
      <c r="E37" t="str">
        <f t="shared" si="2"/>
        <v>November</v>
      </c>
    </row>
    <row r="38" spans="1:5" x14ac:dyDescent="0.3">
      <c r="A38">
        <v>20230210</v>
      </c>
      <c r="B38" s="1">
        <v>44967</v>
      </c>
      <c r="C38">
        <f t="shared" si="3"/>
        <v>2023</v>
      </c>
      <c r="D38">
        <f t="shared" si="1"/>
        <v>2</v>
      </c>
      <c r="E38" t="str">
        <f t="shared" si="2"/>
        <v>February</v>
      </c>
    </row>
    <row r="39" spans="1:5" x14ac:dyDescent="0.3">
      <c r="A39">
        <v>20250530</v>
      </c>
      <c r="B39" s="1">
        <v>45807</v>
      </c>
      <c r="C39">
        <f t="shared" si="3"/>
        <v>2025</v>
      </c>
      <c r="D39">
        <f t="shared" si="1"/>
        <v>5</v>
      </c>
      <c r="E39" t="str">
        <f t="shared" si="2"/>
        <v>May</v>
      </c>
    </row>
    <row r="40" spans="1:5" x14ac:dyDescent="0.3">
      <c r="A40">
        <v>20230225</v>
      </c>
      <c r="B40" s="1">
        <v>44982</v>
      </c>
      <c r="C40">
        <f t="shared" si="3"/>
        <v>2023</v>
      </c>
      <c r="D40">
        <f t="shared" si="1"/>
        <v>2</v>
      </c>
      <c r="E40" t="str">
        <f t="shared" si="2"/>
        <v>February</v>
      </c>
    </row>
    <row r="41" spans="1:5" x14ac:dyDescent="0.3">
      <c r="A41">
        <v>20240306</v>
      </c>
      <c r="B41" s="1">
        <v>45357</v>
      </c>
      <c r="C41">
        <f t="shared" si="3"/>
        <v>2024</v>
      </c>
      <c r="D41">
        <f t="shared" si="1"/>
        <v>3</v>
      </c>
      <c r="E41" t="str">
        <f t="shared" si="2"/>
        <v>March</v>
      </c>
    </row>
    <row r="42" spans="1:5" x14ac:dyDescent="0.3">
      <c r="A42">
        <v>20241017</v>
      </c>
      <c r="B42" s="1">
        <v>45582</v>
      </c>
      <c r="C42">
        <f t="shared" si="3"/>
        <v>2024</v>
      </c>
      <c r="D42">
        <f t="shared" si="1"/>
        <v>10</v>
      </c>
      <c r="E42" t="str">
        <f t="shared" si="2"/>
        <v>October</v>
      </c>
    </row>
    <row r="43" spans="1:5" x14ac:dyDescent="0.3">
      <c r="A43">
        <v>20241201</v>
      </c>
      <c r="B43" s="1">
        <v>45627</v>
      </c>
      <c r="C43">
        <f t="shared" si="3"/>
        <v>2024</v>
      </c>
      <c r="D43">
        <f t="shared" si="1"/>
        <v>12</v>
      </c>
      <c r="E43" t="str">
        <f t="shared" si="2"/>
        <v>December</v>
      </c>
    </row>
    <row r="44" spans="1:5" x14ac:dyDescent="0.3">
      <c r="A44">
        <v>20220416</v>
      </c>
      <c r="B44" s="1">
        <v>44667</v>
      </c>
      <c r="C44">
        <f t="shared" si="3"/>
        <v>2022</v>
      </c>
      <c r="D44">
        <f t="shared" si="1"/>
        <v>4</v>
      </c>
      <c r="E44" t="str">
        <f t="shared" si="2"/>
        <v>April</v>
      </c>
    </row>
    <row r="45" spans="1:5" x14ac:dyDescent="0.3">
      <c r="A45">
        <v>20230327</v>
      </c>
      <c r="B45" s="1">
        <v>45012</v>
      </c>
      <c r="C45">
        <f t="shared" si="3"/>
        <v>2023</v>
      </c>
      <c r="D45">
        <f t="shared" si="1"/>
        <v>3</v>
      </c>
      <c r="E45" t="str">
        <f t="shared" si="2"/>
        <v>March</v>
      </c>
    </row>
    <row r="46" spans="1:5" x14ac:dyDescent="0.3">
      <c r="A46">
        <v>20251226</v>
      </c>
      <c r="B46" s="1">
        <v>46017</v>
      </c>
      <c r="C46">
        <f t="shared" si="3"/>
        <v>2025</v>
      </c>
      <c r="D46">
        <f t="shared" si="1"/>
        <v>12</v>
      </c>
      <c r="E46" t="str">
        <f t="shared" si="2"/>
        <v>December</v>
      </c>
    </row>
    <row r="47" spans="1:5" x14ac:dyDescent="0.3">
      <c r="A47">
        <v>20220829</v>
      </c>
      <c r="B47" s="1">
        <v>44802</v>
      </c>
      <c r="C47">
        <f t="shared" si="3"/>
        <v>2022</v>
      </c>
      <c r="D47">
        <f t="shared" si="1"/>
        <v>8</v>
      </c>
      <c r="E47" t="str">
        <f t="shared" si="2"/>
        <v>August</v>
      </c>
    </row>
    <row r="48" spans="1:5" x14ac:dyDescent="0.3">
      <c r="A48">
        <v>20241231</v>
      </c>
      <c r="B48" s="1">
        <v>45657</v>
      </c>
      <c r="C48">
        <f t="shared" si="3"/>
        <v>2024</v>
      </c>
      <c r="D48">
        <f t="shared" si="1"/>
        <v>12</v>
      </c>
      <c r="E48" t="str">
        <f t="shared" si="2"/>
        <v>December</v>
      </c>
    </row>
    <row r="49" spans="1:5" x14ac:dyDescent="0.3">
      <c r="A49">
        <v>20230625</v>
      </c>
      <c r="B49" s="1">
        <v>45102</v>
      </c>
      <c r="C49">
        <f t="shared" si="3"/>
        <v>2023</v>
      </c>
      <c r="D49">
        <f t="shared" si="1"/>
        <v>6</v>
      </c>
      <c r="E49" t="str">
        <f t="shared" si="2"/>
        <v>June</v>
      </c>
    </row>
    <row r="50" spans="1:5" x14ac:dyDescent="0.3">
      <c r="A50">
        <v>20230710</v>
      </c>
      <c r="B50" s="1">
        <v>45117</v>
      </c>
      <c r="C50">
        <f t="shared" si="3"/>
        <v>2023</v>
      </c>
      <c r="D50">
        <f t="shared" si="1"/>
        <v>7</v>
      </c>
      <c r="E50" t="str">
        <f t="shared" si="2"/>
        <v>July</v>
      </c>
    </row>
    <row r="51" spans="1:5" x14ac:dyDescent="0.3">
      <c r="A51">
        <v>20250415</v>
      </c>
      <c r="B51" s="1">
        <v>45762</v>
      </c>
      <c r="C51">
        <f t="shared" si="3"/>
        <v>2025</v>
      </c>
      <c r="D51">
        <f t="shared" si="1"/>
        <v>4</v>
      </c>
      <c r="E51" t="str">
        <f t="shared" si="2"/>
        <v>April</v>
      </c>
    </row>
    <row r="52" spans="1:5" x14ac:dyDescent="0.3">
      <c r="A52">
        <v>20220401</v>
      </c>
      <c r="B52" s="1">
        <v>44652</v>
      </c>
      <c r="C52">
        <f t="shared" si="3"/>
        <v>2022</v>
      </c>
      <c r="D52">
        <f t="shared" si="1"/>
        <v>4</v>
      </c>
      <c r="E52" t="str">
        <f t="shared" si="2"/>
        <v>April</v>
      </c>
    </row>
    <row r="53" spans="1:5" x14ac:dyDescent="0.3">
      <c r="A53">
        <v>20250301</v>
      </c>
      <c r="B53" s="1">
        <v>45717</v>
      </c>
      <c r="C53">
        <f t="shared" si="3"/>
        <v>2025</v>
      </c>
      <c r="D53">
        <f t="shared" si="1"/>
        <v>3</v>
      </c>
      <c r="E53" t="str">
        <f t="shared" si="2"/>
        <v>March</v>
      </c>
    </row>
    <row r="54" spans="1:5" x14ac:dyDescent="0.3">
      <c r="A54">
        <v>20220715</v>
      </c>
      <c r="B54" s="1">
        <v>44757</v>
      </c>
      <c r="C54">
        <f t="shared" si="3"/>
        <v>2022</v>
      </c>
      <c r="D54">
        <f t="shared" si="1"/>
        <v>7</v>
      </c>
      <c r="E54" t="str">
        <f t="shared" si="2"/>
        <v>July</v>
      </c>
    </row>
    <row r="55" spans="1:5" x14ac:dyDescent="0.3">
      <c r="A55">
        <v>20230411</v>
      </c>
      <c r="B55" s="1">
        <v>45027</v>
      </c>
      <c r="C55">
        <f t="shared" si="3"/>
        <v>2023</v>
      </c>
      <c r="D55">
        <f t="shared" si="1"/>
        <v>4</v>
      </c>
      <c r="E55" t="str">
        <f t="shared" si="2"/>
        <v>April</v>
      </c>
    </row>
    <row r="56" spans="1:5" x14ac:dyDescent="0.3">
      <c r="A56">
        <v>20230610</v>
      </c>
      <c r="B56" s="1">
        <v>45087</v>
      </c>
      <c r="C56">
        <f t="shared" si="3"/>
        <v>2023</v>
      </c>
      <c r="D56">
        <f t="shared" si="1"/>
        <v>6</v>
      </c>
      <c r="E56" t="str">
        <f t="shared" si="2"/>
        <v>June</v>
      </c>
    </row>
    <row r="57" spans="1:5" x14ac:dyDescent="0.3">
      <c r="A57">
        <v>20241116</v>
      </c>
      <c r="B57" s="1">
        <v>45612</v>
      </c>
      <c r="C57">
        <f t="shared" si="3"/>
        <v>2024</v>
      </c>
      <c r="D57">
        <f t="shared" si="1"/>
        <v>11</v>
      </c>
      <c r="E57" t="str">
        <f t="shared" si="2"/>
        <v>November</v>
      </c>
    </row>
    <row r="58" spans="1:5" x14ac:dyDescent="0.3">
      <c r="A58">
        <v>20220101</v>
      </c>
      <c r="B58" s="1">
        <v>44562</v>
      </c>
      <c r="C58">
        <f t="shared" si="3"/>
        <v>2022</v>
      </c>
      <c r="D58">
        <f t="shared" si="1"/>
        <v>1</v>
      </c>
      <c r="E58" t="str">
        <f t="shared" si="2"/>
        <v>January</v>
      </c>
    </row>
    <row r="59" spans="1:5" x14ac:dyDescent="0.3">
      <c r="A59">
        <v>20220928</v>
      </c>
      <c r="B59" s="1">
        <v>44832</v>
      </c>
      <c r="C59">
        <f t="shared" si="3"/>
        <v>2022</v>
      </c>
      <c r="D59">
        <f t="shared" si="1"/>
        <v>9</v>
      </c>
      <c r="E59" t="str">
        <f t="shared" si="2"/>
        <v>September</v>
      </c>
    </row>
    <row r="60" spans="1:5" x14ac:dyDescent="0.3">
      <c r="A60">
        <v>20220516</v>
      </c>
      <c r="B60" s="1">
        <v>44697</v>
      </c>
      <c r="C60">
        <f t="shared" si="3"/>
        <v>2022</v>
      </c>
      <c r="D60">
        <f t="shared" si="1"/>
        <v>5</v>
      </c>
      <c r="E60" t="str">
        <f t="shared" si="2"/>
        <v>May</v>
      </c>
    </row>
    <row r="61" spans="1:5" x14ac:dyDescent="0.3">
      <c r="A61">
        <v>20240106</v>
      </c>
      <c r="B61" s="1">
        <v>45297</v>
      </c>
      <c r="C61">
        <f t="shared" si="3"/>
        <v>2024</v>
      </c>
      <c r="D61">
        <f t="shared" si="1"/>
        <v>1</v>
      </c>
      <c r="E61" t="str">
        <f t="shared" si="2"/>
        <v>January</v>
      </c>
    </row>
    <row r="62" spans="1:5" x14ac:dyDescent="0.3">
      <c r="A62">
        <v>20220531</v>
      </c>
      <c r="B62" s="1">
        <v>44712</v>
      </c>
      <c r="C62">
        <f t="shared" si="3"/>
        <v>2022</v>
      </c>
      <c r="D62">
        <f t="shared" si="1"/>
        <v>5</v>
      </c>
      <c r="E62" t="str">
        <f t="shared" si="2"/>
        <v>May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0119-1E7A-4F2C-B607-749805A445F4}">
  <dimension ref="A1:E87"/>
  <sheetViews>
    <sheetView workbookViewId="0">
      <selection activeCell="E11" sqref="E11"/>
    </sheetView>
  </sheetViews>
  <sheetFormatPr defaultRowHeight="14.4" x14ac:dyDescent="0.3"/>
  <cols>
    <col min="1" max="1" width="13.88671875" bestFit="1" customWidth="1"/>
    <col min="2" max="2" width="11.21875" bestFit="1" customWidth="1"/>
    <col min="5" max="5" width="13.21875" customWidth="1"/>
  </cols>
  <sheetData>
    <row r="1" spans="1:5" x14ac:dyDescent="0.3">
      <c r="A1" t="s">
        <v>18</v>
      </c>
      <c r="B1" t="s">
        <v>168</v>
      </c>
      <c r="C1" t="s">
        <v>165</v>
      </c>
      <c r="D1" t="s">
        <v>166</v>
      </c>
      <c r="E1" t="s">
        <v>167</v>
      </c>
    </row>
    <row r="2" spans="1:5" x14ac:dyDescent="0.3">
      <c r="A2">
        <v>20220203</v>
      </c>
      <c r="B2" s="1">
        <v>44595</v>
      </c>
      <c r="C2">
        <f>YEAR(B2)</f>
        <v>2022</v>
      </c>
      <c r="D2">
        <f>MONTH(B2)</f>
        <v>2</v>
      </c>
      <c r="E2" t="str">
        <f>TEXT(B2,"MMMM")</f>
        <v>February</v>
      </c>
    </row>
    <row r="3" spans="1:5" x14ac:dyDescent="0.3">
      <c r="A3">
        <v>20250630</v>
      </c>
      <c r="B3" s="1">
        <v>45838</v>
      </c>
      <c r="C3">
        <f t="shared" ref="C3:C66" si="0">YEAR(B3)</f>
        <v>2025</v>
      </c>
      <c r="D3">
        <f t="shared" ref="D3:D66" si="1">MONTH(B3)</f>
        <v>6</v>
      </c>
      <c r="E3" t="str">
        <f t="shared" ref="E3:E66" si="2">TEXT(B3,"MMMM")</f>
        <v>June</v>
      </c>
    </row>
    <row r="4" spans="1:5" x14ac:dyDescent="0.3">
      <c r="A4">
        <v>20250131</v>
      </c>
      <c r="B4" s="1">
        <v>45688</v>
      </c>
      <c r="C4">
        <f t="shared" si="0"/>
        <v>2025</v>
      </c>
      <c r="D4">
        <f t="shared" si="1"/>
        <v>1</v>
      </c>
      <c r="E4" t="str">
        <f t="shared" si="2"/>
        <v>January</v>
      </c>
    </row>
    <row r="5" spans="1:5" x14ac:dyDescent="0.3">
      <c r="A5">
        <v>20221228</v>
      </c>
      <c r="B5" s="1">
        <v>44923</v>
      </c>
      <c r="C5">
        <f t="shared" si="0"/>
        <v>2022</v>
      </c>
      <c r="D5">
        <f t="shared" si="1"/>
        <v>12</v>
      </c>
      <c r="E5" t="str">
        <f t="shared" si="2"/>
        <v>December</v>
      </c>
    </row>
    <row r="6" spans="1:5" x14ac:dyDescent="0.3">
      <c r="A6">
        <v>20240903</v>
      </c>
      <c r="B6" s="1">
        <v>45538</v>
      </c>
      <c r="C6">
        <f t="shared" si="0"/>
        <v>2024</v>
      </c>
      <c r="D6">
        <f t="shared" si="1"/>
        <v>9</v>
      </c>
      <c r="E6" t="str">
        <f t="shared" si="2"/>
        <v>September</v>
      </c>
    </row>
    <row r="7" spans="1:5" x14ac:dyDescent="0.3">
      <c r="A7">
        <v>20251030</v>
      </c>
      <c r="B7" s="1">
        <v>45960</v>
      </c>
      <c r="C7">
        <f t="shared" si="0"/>
        <v>2025</v>
      </c>
      <c r="D7">
        <f t="shared" si="1"/>
        <v>10</v>
      </c>
      <c r="E7" t="str">
        <f t="shared" si="2"/>
        <v>October</v>
      </c>
    </row>
    <row r="8" spans="1:5" x14ac:dyDescent="0.3">
      <c r="A8">
        <v>20220504</v>
      </c>
      <c r="B8" s="1">
        <v>44685</v>
      </c>
      <c r="C8">
        <f t="shared" si="0"/>
        <v>2022</v>
      </c>
      <c r="D8">
        <f t="shared" si="1"/>
        <v>5</v>
      </c>
      <c r="E8" t="str">
        <f t="shared" si="2"/>
        <v>May</v>
      </c>
    </row>
    <row r="9" spans="1:5" x14ac:dyDescent="0.3">
      <c r="A9">
        <v>20250502</v>
      </c>
      <c r="B9" s="1">
        <v>45779</v>
      </c>
      <c r="C9">
        <f t="shared" si="0"/>
        <v>2025</v>
      </c>
      <c r="D9">
        <f t="shared" si="1"/>
        <v>5</v>
      </c>
      <c r="E9" t="str">
        <f t="shared" si="2"/>
        <v>May</v>
      </c>
    </row>
    <row r="10" spans="1:5" x14ac:dyDescent="0.3">
      <c r="A10">
        <v>20240606</v>
      </c>
      <c r="B10" s="1">
        <v>45449</v>
      </c>
      <c r="C10">
        <f t="shared" si="0"/>
        <v>2024</v>
      </c>
      <c r="D10">
        <f t="shared" si="1"/>
        <v>6</v>
      </c>
      <c r="E10" t="str">
        <f t="shared" si="2"/>
        <v>June</v>
      </c>
    </row>
    <row r="11" spans="1:5" x14ac:dyDescent="0.3">
      <c r="A11">
        <v>20220616</v>
      </c>
      <c r="B11" s="1">
        <v>44728</v>
      </c>
      <c r="C11">
        <f t="shared" si="0"/>
        <v>2022</v>
      </c>
      <c r="D11">
        <f t="shared" si="1"/>
        <v>6</v>
      </c>
      <c r="E11" t="str">
        <f t="shared" si="2"/>
        <v>June</v>
      </c>
    </row>
    <row r="12" spans="1:5" x14ac:dyDescent="0.3">
      <c r="A12">
        <v>20230527</v>
      </c>
      <c r="B12" s="1">
        <v>45073</v>
      </c>
      <c r="C12">
        <f t="shared" si="0"/>
        <v>2023</v>
      </c>
      <c r="D12">
        <f t="shared" si="1"/>
        <v>5</v>
      </c>
      <c r="E12" t="str">
        <f t="shared" si="2"/>
        <v>May</v>
      </c>
    </row>
    <row r="13" spans="1:5" x14ac:dyDescent="0.3">
      <c r="A13">
        <v>20240221</v>
      </c>
      <c r="B13" s="1">
        <v>45343</v>
      </c>
      <c r="C13">
        <f t="shared" si="0"/>
        <v>2024</v>
      </c>
      <c r="D13">
        <f t="shared" si="1"/>
        <v>2</v>
      </c>
      <c r="E13" t="str">
        <f t="shared" si="2"/>
        <v>February</v>
      </c>
    </row>
    <row r="14" spans="1:5" x14ac:dyDescent="0.3">
      <c r="A14">
        <v>20220915</v>
      </c>
      <c r="B14" s="1">
        <v>44819</v>
      </c>
      <c r="C14">
        <f t="shared" si="0"/>
        <v>2022</v>
      </c>
      <c r="D14">
        <f t="shared" si="1"/>
        <v>9</v>
      </c>
      <c r="E14" t="str">
        <f t="shared" si="2"/>
        <v>September</v>
      </c>
    </row>
    <row r="15" spans="1:5" x14ac:dyDescent="0.3">
      <c r="A15">
        <v>20220801</v>
      </c>
      <c r="B15" s="1">
        <v>44774</v>
      </c>
      <c r="C15">
        <f t="shared" si="0"/>
        <v>2022</v>
      </c>
      <c r="D15">
        <f t="shared" si="1"/>
        <v>8</v>
      </c>
      <c r="E15" t="str">
        <f t="shared" si="2"/>
        <v>August</v>
      </c>
    </row>
    <row r="16" spans="1:5" x14ac:dyDescent="0.3">
      <c r="A16">
        <v>20240406</v>
      </c>
      <c r="B16" s="1">
        <v>45388</v>
      </c>
      <c r="C16">
        <f t="shared" si="0"/>
        <v>2024</v>
      </c>
      <c r="D16">
        <f t="shared" si="1"/>
        <v>4</v>
      </c>
      <c r="E16" t="str">
        <f t="shared" si="2"/>
        <v>April</v>
      </c>
    </row>
    <row r="17" spans="1:5" x14ac:dyDescent="0.3">
      <c r="A17">
        <v>20250615</v>
      </c>
      <c r="B17" s="1">
        <v>45823</v>
      </c>
      <c r="C17">
        <f t="shared" si="0"/>
        <v>2025</v>
      </c>
      <c r="D17">
        <f t="shared" si="1"/>
        <v>6</v>
      </c>
      <c r="E17" t="str">
        <f t="shared" si="2"/>
        <v>June</v>
      </c>
    </row>
    <row r="18" spans="1:5" x14ac:dyDescent="0.3">
      <c r="A18">
        <v>20220217</v>
      </c>
      <c r="B18" s="1">
        <v>44609</v>
      </c>
      <c r="C18">
        <f t="shared" si="0"/>
        <v>2022</v>
      </c>
      <c r="D18">
        <f t="shared" si="1"/>
        <v>2</v>
      </c>
      <c r="E18" t="str">
        <f t="shared" si="2"/>
        <v>February</v>
      </c>
    </row>
    <row r="19" spans="1:5" x14ac:dyDescent="0.3">
      <c r="A19">
        <v>20240423</v>
      </c>
      <c r="B19" s="1">
        <v>45405</v>
      </c>
      <c r="C19">
        <f t="shared" si="0"/>
        <v>2024</v>
      </c>
      <c r="D19">
        <f t="shared" si="1"/>
        <v>4</v>
      </c>
      <c r="E19" t="str">
        <f t="shared" si="2"/>
        <v>April</v>
      </c>
    </row>
    <row r="20" spans="1:5" x14ac:dyDescent="0.3">
      <c r="A20">
        <v>20230909</v>
      </c>
      <c r="B20" s="1">
        <v>45178</v>
      </c>
      <c r="C20">
        <f t="shared" si="0"/>
        <v>2023</v>
      </c>
      <c r="D20">
        <f t="shared" si="1"/>
        <v>9</v>
      </c>
      <c r="E20" t="str">
        <f t="shared" si="2"/>
        <v>September</v>
      </c>
    </row>
    <row r="21" spans="1:5" x14ac:dyDescent="0.3">
      <c r="A21">
        <v>20220304</v>
      </c>
      <c r="B21" s="1">
        <v>44624</v>
      </c>
      <c r="C21">
        <f t="shared" si="0"/>
        <v>2022</v>
      </c>
      <c r="D21">
        <f t="shared" si="1"/>
        <v>3</v>
      </c>
      <c r="E21" t="str">
        <f t="shared" si="2"/>
        <v>March</v>
      </c>
    </row>
    <row r="22" spans="1:5" x14ac:dyDescent="0.3">
      <c r="A22">
        <v>20240905</v>
      </c>
      <c r="B22" s="1">
        <v>45540</v>
      </c>
      <c r="C22">
        <f t="shared" si="0"/>
        <v>2024</v>
      </c>
      <c r="D22">
        <f t="shared" si="1"/>
        <v>9</v>
      </c>
      <c r="E22" t="str">
        <f t="shared" si="2"/>
        <v>September</v>
      </c>
    </row>
    <row r="23" spans="1:5" x14ac:dyDescent="0.3">
      <c r="A23">
        <v>20240507</v>
      </c>
      <c r="B23" s="1">
        <v>45419</v>
      </c>
      <c r="C23">
        <f t="shared" si="0"/>
        <v>2024</v>
      </c>
      <c r="D23">
        <f t="shared" si="1"/>
        <v>5</v>
      </c>
      <c r="E23" t="str">
        <f t="shared" si="2"/>
        <v>May</v>
      </c>
    </row>
    <row r="24" spans="1:5" x14ac:dyDescent="0.3">
      <c r="A24">
        <v>20220218</v>
      </c>
      <c r="B24" s="1">
        <v>44610</v>
      </c>
      <c r="C24">
        <f t="shared" si="0"/>
        <v>2022</v>
      </c>
      <c r="D24">
        <f t="shared" si="1"/>
        <v>2</v>
      </c>
      <c r="E24" t="str">
        <f t="shared" si="2"/>
        <v>February</v>
      </c>
    </row>
    <row r="25" spans="1:5" x14ac:dyDescent="0.3">
      <c r="A25">
        <v>20240707</v>
      </c>
      <c r="B25" s="1">
        <v>45480</v>
      </c>
      <c r="C25">
        <f t="shared" si="0"/>
        <v>2024</v>
      </c>
      <c r="D25">
        <f t="shared" si="1"/>
        <v>7</v>
      </c>
      <c r="E25" t="str">
        <f t="shared" si="2"/>
        <v>July</v>
      </c>
    </row>
    <row r="26" spans="1:5" x14ac:dyDescent="0.3">
      <c r="A26">
        <v>20240123</v>
      </c>
      <c r="B26" s="1">
        <v>45314</v>
      </c>
      <c r="C26">
        <f t="shared" si="0"/>
        <v>2024</v>
      </c>
      <c r="D26">
        <f t="shared" si="1"/>
        <v>1</v>
      </c>
      <c r="E26" t="str">
        <f t="shared" si="2"/>
        <v>January</v>
      </c>
    </row>
    <row r="27" spans="1:5" x14ac:dyDescent="0.3">
      <c r="A27">
        <v>20240208</v>
      </c>
      <c r="B27" s="1">
        <v>45330</v>
      </c>
      <c r="C27">
        <f t="shared" si="0"/>
        <v>2024</v>
      </c>
      <c r="D27">
        <f t="shared" si="1"/>
        <v>2</v>
      </c>
      <c r="E27" t="str">
        <f t="shared" si="2"/>
        <v>February</v>
      </c>
    </row>
    <row r="28" spans="1:5" x14ac:dyDescent="0.3">
      <c r="A28">
        <v>20240122</v>
      </c>
      <c r="B28" s="1">
        <v>45313</v>
      </c>
      <c r="C28">
        <f t="shared" si="0"/>
        <v>2024</v>
      </c>
      <c r="D28">
        <f t="shared" si="1"/>
        <v>1</v>
      </c>
      <c r="E28" t="str">
        <f t="shared" si="2"/>
        <v>January</v>
      </c>
    </row>
    <row r="29" spans="1:5" x14ac:dyDescent="0.3">
      <c r="A29">
        <v>20250402</v>
      </c>
      <c r="B29" s="1">
        <v>45749</v>
      </c>
      <c r="C29">
        <f t="shared" si="0"/>
        <v>2025</v>
      </c>
      <c r="D29">
        <f t="shared" si="1"/>
        <v>4</v>
      </c>
      <c r="E29" t="str">
        <f t="shared" si="2"/>
        <v>April</v>
      </c>
    </row>
    <row r="30" spans="1:5" x14ac:dyDescent="0.3">
      <c r="A30">
        <v>20251213</v>
      </c>
      <c r="B30" s="1">
        <v>46004</v>
      </c>
      <c r="C30">
        <f t="shared" si="0"/>
        <v>2025</v>
      </c>
      <c r="D30">
        <f t="shared" si="1"/>
        <v>12</v>
      </c>
      <c r="E30" t="str">
        <f t="shared" si="2"/>
        <v>December</v>
      </c>
    </row>
    <row r="31" spans="1:5" x14ac:dyDescent="0.3">
      <c r="A31">
        <v>20221014</v>
      </c>
      <c r="B31" s="1">
        <v>44848</v>
      </c>
      <c r="C31">
        <f t="shared" si="0"/>
        <v>2022</v>
      </c>
      <c r="D31">
        <f t="shared" si="1"/>
        <v>10</v>
      </c>
      <c r="E31" t="str">
        <f t="shared" si="2"/>
        <v>October</v>
      </c>
    </row>
    <row r="32" spans="1:5" x14ac:dyDescent="0.3">
      <c r="A32">
        <v>20230529</v>
      </c>
      <c r="B32" s="1">
        <v>45075</v>
      </c>
      <c r="C32">
        <f t="shared" si="0"/>
        <v>2023</v>
      </c>
      <c r="D32">
        <f t="shared" si="1"/>
        <v>5</v>
      </c>
      <c r="E32" t="str">
        <f t="shared" si="2"/>
        <v>May</v>
      </c>
    </row>
    <row r="33" spans="1:5" x14ac:dyDescent="0.3">
      <c r="A33">
        <v>20221229</v>
      </c>
      <c r="B33" s="1">
        <v>44924</v>
      </c>
      <c r="C33">
        <f t="shared" si="0"/>
        <v>2022</v>
      </c>
      <c r="D33">
        <f t="shared" si="1"/>
        <v>12</v>
      </c>
      <c r="E33" t="str">
        <f t="shared" si="2"/>
        <v>December</v>
      </c>
    </row>
    <row r="34" spans="1:5" x14ac:dyDescent="0.3">
      <c r="A34">
        <v>20250317</v>
      </c>
      <c r="B34" s="1">
        <v>45733</v>
      </c>
      <c r="C34">
        <f t="shared" si="0"/>
        <v>2025</v>
      </c>
      <c r="D34">
        <f t="shared" si="1"/>
        <v>3</v>
      </c>
      <c r="E34" t="str">
        <f t="shared" si="2"/>
        <v>March</v>
      </c>
    </row>
    <row r="35" spans="1:5" x14ac:dyDescent="0.3">
      <c r="A35">
        <v>20220617</v>
      </c>
      <c r="B35" s="1">
        <v>44729</v>
      </c>
      <c r="C35">
        <f t="shared" si="0"/>
        <v>2022</v>
      </c>
      <c r="D35">
        <f t="shared" si="1"/>
        <v>6</v>
      </c>
      <c r="E35" t="str">
        <f t="shared" si="2"/>
        <v>June</v>
      </c>
    </row>
    <row r="36" spans="1:5" x14ac:dyDescent="0.3">
      <c r="A36">
        <v>20220503</v>
      </c>
      <c r="B36" s="1">
        <v>44684</v>
      </c>
      <c r="C36">
        <f t="shared" si="0"/>
        <v>2022</v>
      </c>
      <c r="D36">
        <f t="shared" si="1"/>
        <v>5</v>
      </c>
      <c r="E36" t="str">
        <f t="shared" si="2"/>
        <v>May</v>
      </c>
    </row>
    <row r="37" spans="1:5" x14ac:dyDescent="0.3">
      <c r="A37">
        <v>20221215</v>
      </c>
      <c r="B37" s="1">
        <v>44910</v>
      </c>
      <c r="C37">
        <f t="shared" si="0"/>
        <v>2022</v>
      </c>
      <c r="D37">
        <f t="shared" si="1"/>
        <v>12</v>
      </c>
      <c r="E37" t="str">
        <f t="shared" si="2"/>
        <v>December</v>
      </c>
    </row>
    <row r="38" spans="1:5" x14ac:dyDescent="0.3">
      <c r="A38">
        <v>20240805</v>
      </c>
      <c r="B38" s="1">
        <v>45509</v>
      </c>
      <c r="C38">
        <f t="shared" si="0"/>
        <v>2024</v>
      </c>
      <c r="D38">
        <f t="shared" si="1"/>
        <v>8</v>
      </c>
      <c r="E38" t="str">
        <f t="shared" si="2"/>
        <v>August</v>
      </c>
    </row>
    <row r="39" spans="1:5" x14ac:dyDescent="0.3">
      <c r="A39">
        <v>20231210</v>
      </c>
      <c r="B39" s="1">
        <v>45270</v>
      </c>
      <c r="C39">
        <f t="shared" si="0"/>
        <v>2023</v>
      </c>
      <c r="D39">
        <f t="shared" si="1"/>
        <v>12</v>
      </c>
      <c r="E39" t="str">
        <f t="shared" si="2"/>
        <v>December</v>
      </c>
    </row>
    <row r="40" spans="1:5" x14ac:dyDescent="0.3">
      <c r="A40">
        <v>20240621</v>
      </c>
      <c r="B40" s="1">
        <v>45464</v>
      </c>
      <c r="C40">
        <f t="shared" si="0"/>
        <v>2024</v>
      </c>
      <c r="D40">
        <f t="shared" si="1"/>
        <v>6</v>
      </c>
      <c r="E40" t="str">
        <f t="shared" si="2"/>
        <v>June</v>
      </c>
    </row>
    <row r="41" spans="1:5" x14ac:dyDescent="0.3">
      <c r="A41">
        <v>20220320</v>
      </c>
      <c r="B41" s="1">
        <v>44640</v>
      </c>
      <c r="C41">
        <f t="shared" si="0"/>
        <v>2022</v>
      </c>
      <c r="D41">
        <f t="shared" si="1"/>
        <v>3</v>
      </c>
      <c r="E41" t="str">
        <f t="shared" si="2"/>
        <v>March</v>
      </c>
    </row>
    <row r="42" spans="1:5" x14ac:dyDescent="0.3">
      <c r="A42">
        <v>20250503</v>
      </c>
      <c r="B42" s="1">
        <v>45780</v>
      </c>
      <c r="C42">
        <f t="shared" si="0"/>
        <v>2025</v>
      </c>
      <c r="D42">
        <f t="shared" si="1"/>
        <v>5</v>
      </c>
      <c r="E42" t="str">
        <f t="shared" si="2"/>
        <v>May</v>
      </c>
    </row>
    <row r="43" spans="1:5" x14ac:dyDescent="0.3">
      <c r="A43">
        <v>20220703</v>
      </c>
      <c r="B43" s="1">
        <v>44745</v>
      </c>
      <c r="C43">
        <f t="shared" si="0"/>
        <v>2022</v>
      </c>
      <c r="D43">
        <f t="shared" si="1"/>
        <v>7</v>
      </c>
      <c r="E43" t="str">
        <f t="shared" si="2"/>
        <v>July</v>
      </c>
    </row>
    <row r="44" spans="1:5" x14ac:dyDescent="0.3">
      <c r="A44">
        <v>20250915</v>
      </c>
      <c r="B44" s="1">
        <v>45915</v>
      </c>
      <c r="C44">
        <f t="shared" si="0"/>
        <v>2025</v>
      </c>
      <c r="D44">
        <f t="shared" si="1"/>
        <v>9</v>
      </c>
      <c r="E44" t="str">
        <f t="shared" si="2"/>
        <v>September</v>
      </c>
    </row>
    <row r="45" spans="1:5" x14ac:dyDescent="0.3">
      <c r="A45">
        <v>20240605</v>
      </c>
      <c r="B45" s="1">
        <v>45448</v>
      </c>
      <c r="C45">
        <f t="shared" si="0"/>
        <v>2024</v>
      </c>
      <c r="D45">
        <f t="shared" si="1"/>
        <v>6</v>
      </c>
      <c r="E45" t="str">
        <f t="shared" si="2"/>
        <v>June</v>
      </c>
    </row>
    <row r="46" spans="1:5" x14ac:dyDescent="0.3">
      <c r="A46">
        <v>20241104</v>
      </c>
      <c r="B46" s="1">
        <v>45600</v>
      </c>
      <c r="C46">
        <f t="shared" si="0"/>
        <v>2024</v>
      </c>
      <c r="D46">
        <f t="shared" si="1"/>
        <v>11</v>
      </c>
      <c r="E46" t="str">
        <f t="shared" si="2"/>
        <v>November</v>
      </c>
    </row>
    <row r="47" spans="1:5" x14ac:dyDescent="0.3">
      <c r="A47">
        <v>20220702</v>
      </c>
      <c r="B47" s="1">
        <v>44744</v>
      </c>
      <c r="C47">
        <f t="shared" si="0"/>
        <v>2022</v>
      </c>
      <c r="D47">
        <f t="shared" si="1"/>
        <v>7</v>
      </c>
      <c r="E47" t="str">
        <f t="shared" si="2"/>
        <v>July</v>
      </c>
    </row>
    <row r="48" spans="1:5" x14ac:dyDescent="0.3">
      <c r="A48">
        <v>20220701</v>
      </c>
      <c r="B48" s="1">
        <v>44743</v>
      </c>
      <c r="C48">
        <f t="shared" si="0"/>
        <v>2022</v>
      </c>
      <c r="D48">
        <f t="shared" si="1"/>
        <v>7</v>
      </c>
      <c r="E48" t="str">
        <f t="shared" si="2"/>
        <v>July</v>
      </c>
    </row>
    <row r="49" spans="1:5" x14ac:dyDescent="0.3">
      <c r="A49">
        <v>20230213</v>
      </c>
      <c r="B49" s="1">
        <v>44970</v>
      </c>
      <c r="C49">
        <f t="shared" si="0"/>
        <v>2023</v>
      </c>
      <c r="D49">
        <f t="shared" si="1"/>
        <v>2</v>
      </c>
      <c r="E49" t="str">
        <f t="shared" si="2"/>
        <v>February</v>
      </c>
    </row>
    <row r="50" spans="1:5" x14ac:dyDescent="0.3">
      <c r="A50">
        <v>20250701</v>
      </c>
      <c r="B50" s="1">
        <v>45839</v>
      </c>
      <c r="C50">
        <f t="shared" si="0"/>
        <v>2025</v>
      </c>
      <c r="D50">
        <f t="shared" si="1"/>
        <v>7</v>
      </c>
      <c r="E50" t="str">
        <f t="shared" si="2"/>
        <v>July</v>
      </c>
    </row>
    <row r="51" spans="1:5" x14ac:dyDescent="0.3">
      <c r="A51">
        <v>20250403</v>
      </c>
      <c r="B51" s="1">
        <v>45750</v>
      </c>
      <c r="C51">
        <f t="shared" si="0"/>
        <v>2025</v>
      </c>
      <c r="D51">
        <f t="shared" si="1"/>
        <v>4</v>
      </c>
      <c r="E51" t="str">
        <f t="shared" si="2"/>
        <v>April</v>
      </c>
    </row>
    <row r="52" spans="1:5" x14ac:dyDescent="0.3">
      <c r="A52">
        <v>20250602</v>
      </c>
      <c r="B52" s="1">
        <v>45810</v>
      </c>
      <c r="C52">
        <f t="shared" si="0"/>
        <v>2025</v>
      </c>
      <c r="D52">
        <f t="shared" si="1"/>
        <v>6</v>
      </c>
      <c r="E52" t="str">
        <f t="shared" si="2"/>
        <v>June</v>
      </c>
    </row>
    <row r="53" spans="1:5" x14ac:dyDescent="0.3">
      <c r="A53">
        <v>20230228</v>
      </c>
      <c r="B53" s="1">
        <v>44985</v>
      </c>
      <c r="C53">
        <f t="shared" si="0"/>
        <v>2023</v>
      </c>
      <c r="D53">
        <f t="shared" si="1"/>
        <v>2</v>
      </c>
      <c r="E53" t="str">
        <f t="shared" si="2"/>
        <v>February</v>
      </c>
    </row>
    <row r="54" spans="1:5" x14ac:dyDescent="0.3">
      <c r="A54">
        <v>20240308</v>
      </c>
      <c r="B54" s="1">
        <v>45359</v>
      </c>
      <c r="C54">
        <f t="shared" si="0"/>
        <v>2024</v>
      </c>
      <c r="D54">
        <f t="shared" si="1"/>
        <v>3</v>
      </c>
      <c r="E54" t="str">
        <f t="shared" si="2"/>
        <v>March</v>
      </c>
    </row>
    <row r="55" spans="1:5" x14ac:dyDescent="0.3">
      <c r="A55">
        <v>20241019</v>
      </c>
      <c r="B55" s="1">
        <v>45584</v>
      </c>
      <c r="C55">
        <f t="shared" si="0"/>
        <v>2024</v>
      </c>
      <c r="D55">
        <f t="shared" si="1"/>
        <v>10</v>
      </c>
      <c r="E55" t="str">
        <f t="shared" si="2"/>
        <v>October</v>
      </c>
    </row>
    <row r="56" spans="1:5" x14ac:dyDescent="0.3">
      <c r="A56">
        <v>20241202</v>
      </c>
      <c r="B56" s="1">
        <v>45628</v>
      </c>
      <c r="C56">
        <f t="shared" si="0"/>
        <v>2024</v>
      </c>
      <c r="D56">
        <f t="shared" si="1"/>
        <v>12</v>
      </c>
      <c r="E56" t="str">
        <f t="shared" si="2"/>
        <v>December</v>
      </c>
    </row>
    <row r="57" spans="1:5" x14ac:dyDescent="0.3">
      <c r="A57">
        <v>20220418</v>
      </c>
      <c r="B57" s="1">
        <v>44669</v>
      </c>
      <c r="C57">
        <f t="shared" si="0"/>
        <v>2022</v>
      </c>
      <c r="D57">
        <f t="shared" si="1"/>
        <v>4</v>
      </c>
      <c r="E57" t="str">
        <f t="shared" si="2"/>
        <v>April</v>
      </c>
    </row>
    <row r="58" spans="1:5" x14ac:dyDescent="0.3">
      <c r="A58">
        <v>20230328</v>
      </c>
      <c r="B58" s="1">
        <v>45013</v>
      </c>
      <c r="C58">
        <f t="shared" si="0"/>
        <v>2023</v>
      </c>
      <c r="D58">
        <f t="shared" si="1"/>
        <v>3</v>
      </c>
      <c r="E58" t="str">
        <f t="shared" si="2"/>
        <v>March</v>
      </c>
    </row>
    <row r="59" spans="1:5" x14ac:dyDescent="0.3">
      <c r="A59">
        <v>20251228</v>
      </c>
      <c r="B59" s="1">
        <v>46019</v>
      </c>
      <c r="C59">
        <f t="shared" si="0"/>
        <v>2025</v>
      </c>
      <c r="D59">
        <f t="shared" si="1"/>
        <v>12</v>
      </c>
      <c r="E59" t="str">
        <f t="shared" si="2"/>
        <v>December</v>
      </c>
    </row>
    <row r="60" spans="1:5" x14ac:dyDescent="0.3">
      <c r="A60">
        <v>20220731</v>
      </c>
      <c r="B60" s="1">
        <v>44773</v>
      </c>
      <c r="C60">
        <f t="shared" si="0"/>
        <v>2022</v>
      </c>
      <c r="D60">
        <f t="shared" si="1"/>
        <v>7</v>
      </c>
      <c r="E60" t="str">
        <f t="shared" si="2"/>
        <v>July</v>
      </c>
    </row>
    <row r="61" spans="1:5" x14ac:dyDescent="0.3">
      <c r="A61">
        <v>20220831</v>
      </c>
      <c r="B61" s="1">
        <v>44804</v>
      </c>
      <c r="C61">
        <f t="shared" si="0"/>
        <v>2022</v>
      </c>
      <c r="D61">
        <f t="shared" si="1"/>
        <v>8</v>
      </c>
      <c r="E61" t="str">
        <f t="shared" si="2"/>
        <v>August</v>
      </c>
    </row>
    <row r="62" spans="1:5" x14ac:dyDescent="0.3">
      <c r="A62">
        <v>20250103</v>
      </c>
      <c r="B62" s="1">
        <v>45660</v>
      </c>
      <c r="C62">
        <f t="shared" si="0"/>
        <v>2025</v>
      </c>
      <c r="D62">
        <f t="shared" si="1"/>
        <v>1</v>
      </c>
      <c r="E62" t="str">
        <f t="shared" si="2"/>
        <v>January</v>
      </c>
    </row>
    <row r="63" spans="1:5" x14ac:dyDescent="0.3">
      <c r="A63">
        <v>20230627</v>
      </c>
      <c r="B63" s="1">
        <v>45104</v>
      </c>
      <c r="C63">
        <f t="shared" si="0"/>
        <v>2023</v>
      </c>
      <c r="D63">
        <f t="shared" si="1"/>
        <v>6</v>
      </c>
      <c r="E63" t="str">
        <f t="shared" si="2"/>
        <v>June</v>
      </c>
    </row>
    <row r="64" spans="1:5" x14ac:dyDescent="0.3">
      <c r="A64">
        <v>20250202</v>
      </c>
      <c r="B64" s="1">
        <v>45690</v>
      </c>
      <c r="C64">
        <f t="shared" si="0"/>
        <v>2025</v>
      </c>
      <c r="D64">
        <f t="shared" si="1"/>
        <v>2</v>
      </c>
      <c r="E64" t="str">
        <f t="shared" si="2"/>
        <v>February</v>
      </c>
    </row>
    <row r="65" spans="1:5" x14ac:dyDescent="0.3">
      <c r="A65">
        <v>20230712</v>
      </c>
      <c r="B65" s="1">
        <v>45119</v>
      </c>
      <c r="C65">
        <f t="shared" si="0"/>
        <v>2023</v>
      </c>
      <c r="D65">
        <f t="shared" si="1"/>
        <v>7</v>
      </c>
      <c r="E65" t="str">
        <f t="shared" si="2"/>
        <v>July</v>
      </c>
    </row>
    <row r="66" spans="1:5" x14ac:dyDescent="0.3">
      <c r="A66">
        <v>20250418</v>
      </c>
      <c r="B66" s="1">
        <v>45765</v>
      </c>
      <c r="C66">
        <f t="shared" si="0"/>
        <v>2025</v>
      </c>
      <c r="D66">
        <f t="shared" si="1"/>
        <v>4</v>
      </c>
      <c r="E66" t="str">
        <f t="shared" si="2"/>
        <v>April</v>
      </c>
    </row>
    <row r="67" spans="1:5" x14ac:dyDescent="0.3">
      <c r="A67">
        <v>20241018</v>
      </c>
      <c r="B67" s="1">
        <v>45583</v>
      </c>
      <c r="C67">
        <f t="shared" ref="C67:C87" si="3">YEAR(B67)</f>
        <v>2024</v>
      </c>
      <c r="D67">
        <f t="shared" ref="D67:D87" si="4">MONTH(B67)</f>
        <v>10</v>
      </c>
      <c r="E67" t="str">
        <f t="shared" ref="E67:E87" si="5">TEXT(B67,"MMMM")</f>
        <v>October</v>
      </c>
    </row>
    <row r="68" spans="1:5" x14ac:dyDescent="0.3">
      <c r="A68">
        <v>20220404</v>
      </c>
      <c r="B68" s="1">
        <v>44655</v>
      </c>
      <c r="C68">
        <f t="shared" si="3"/>
        <v>2022</v>
      </c>
      <c r="D68">
        <f t="shared" si="4"/>
        <v>4</v>
      </c>
      <c r="E68" t="str">
        <f t="shared" si="5"/>
        <v>April</v>
      </c>
    </row>
    <row r="69" spans="1:5" x14ac:dyDescent="0.3">
      <c r="A69">
        <v>20250304</v>
      </c>
      <c r="B69" s="1">
        <v>45720</v>
      </c>
      <c r="C69">
        <f t="shared" si="3"/>
        <v>2025</v>
      </c>
      <c r="D69">
        <f t="shared" si="4"/>
        <v>3</v>
      </c>
      <c r="E69" t="str">
        <f t="shared" si="5"/>
        <v>March</v>
      </c>
    </row>
    <row r="70" spans="1:5" x14ac:dyDescent="0.3">
      <c r="A70">
        <v>20220717</v>
      </c>
      <c r="B70" s="1">
        <v>44759</v>
      </c>
      <c r="C70">
        <f t="shared" si="3"/>
        <v>2022</v>
      </c>
      <c r="D70">
        <f t="shared" si="4"/>
        <v>7</v>
      </c>
      <c r="E70" t="str">
        <f t="shared" si="5"/>
        <v>July</v>
      </c>
    </row>
    <row r="71" spans="1:5" x14ac:dyDescent="0.3">
      <c r="A71">
        <v>20230413</v>
      </c>
      <c r="B71" s="1">
        <v>45029</v>
      </c>
      <c r="C71">
        <f t="shared" si="3"/>
        <v>2023</v>
      </c>
      <c r="D71">
        <f t="shared" si="4"/>
        <v>4</v>
      </c>
      <c r="E71" t="str">
        <f t="shared" si="5"/>
        <v>April</v>
      </c>
    </row>
    <row r="72" spans="1:5" x14ac:dyDescent="0.3">
      <c r="A72">
        <v>20230613</v>
      </c>
      <c r="B72" s="1">
        <v>45090</v>
      </c>
      <c r="C72">
        <f t="shared" si="3"/>
        <v>2023</v>
      </c>
      <c r="D72">
        <f t="shared" si="4"/>
        <v>6</v>
      </c>
      <c r="E72" t="str">
        <f t="shared" si="5"/>
        <v>June</v>
      </c>
    </row>
    <row r="73" spans="1:5" x14ac:dyDescent="0.3">
      <c r="A73">
        <v>20241119</v>
      </c>
      <c r="B73" s="1">
        <v>45615</v>
      </c>
      <c r="C73">
        <f t="shared" si="3"/>
        <v>2024</v>
      </c>
      <c r="D73">
        <f t="shared" si="4"/>
        <v>11</v>
      </c>
      <c r="E73" t="str">
        <f t="shared" si="5"/>
        <v>November</v>
      </c>
    </row>
    <row r="74" spans="1:5" x14ac:dyDescent="0.3">
      <c r="A74">
        <v>20220102</v>
      </c>
      <c r="B74" s="1">
        <v>44563</v>
      </c>
      <c r="C74">
        <f t="shared" si="3"/>
        <v>2022</v>
      </c>
      <c r="D74">
        <f t="shared" si="4"/>
        <v>1</v>
      </c>
      <c r="E74" t="str">
        <f t="shared" si="5"/>
        <v>January</v>
      </c>
    </row>
    <row r="75" spans="1:5" x14ac:dyDescent="0.3">
      <c r="A75">
        <v>20220618</v>
      </c>
      <c r="B75" s="1">
        <v>44730</v>
      </c>
      <c r="C75">
        <f t="shared" si="3"/>
        <v>2022</v>
      </c>
      <c r="D75">
        <f t="shared" si="4"/>
        <v>6</v>
      </c>
      <c r="E75" t="str">
        <f t="shared" si="5"/>
        <v>June</v>
      </c>
    </row>
    <row r="76" spans="1:5" x14ac:dyDescent="0.3">
      <c r="A76">
        <v>20220916</v>
      </c>
      <c r="B76" s="1">
        <v>44820</v>
      </c>
      <c r="C76">
        <f t="shared" si="3"/>
        <v>2022</v>
      </c>
      <c r="D76">
        <f t="shared" si="4"/>
        <v>9</v>
      </c>
      <c r="E76" t="str">
        <f t="shared" si="5"/>
        <v>September</v>
      </c>
    </row>
    <row r="77" spans="1:5" x14ac:dyDescent="0.3">
      <c r="A77">
        <v>20250616</v>
      </c>
      <c r="B77" s="1">
        <v>45824</v>
      </c>
      <c r="C77">
        <f t="shared" si="3"/>
        <v>2025</v>
      </c>
      <c r="D77">
        <f t="shared" si="4"/>
        <v>6</v>
      </c>
      <c r="E77" t="str">
        <f t="shared" si="5"/>
        <v>June</v>
      </c>
    </row>
    <row r="78" spans="1:5" x14ac:dyDescent="0.3">
      <c r="A78">
        <v>20221214</v>
      </c>
      <c r="B78" s="1">
        <v>44909</v>
      </c>
      <c r="C78">
        <f t="shared" si="3"/>
        <v>2022</v>
      </c>
      <c r="D78">
        <f t="shared" si="4"/>
        <v>12</v>
      </c>
      <c r="E78" t="str">
        <f t="shared" si="5"/>
        <v>December</v>
      </c>
    </row>
    <row r="79" spans="1:5" x14ac:dyDescent="0.3">
      <c r="A79">
        <v>20220417</v>
      </c>
      <c r="B79" s="1">
        <v>44668</v>
      </c>
      <c r="C79">
        <f t="shared" si="3"/>
        <v>2022</v>
      </c>
      <c r="D79">
        <f t="shared" si="4"/>
        <v>4</v>
      </c>
      <c r="E79" t="str">
        <f t="shared" si="5"/>
        <v>April</v>
      </c>
    </row>
    <row r="80" spans="1:5" x14ac:dyDescent="0.3">
      <c r="A80">
        <v>20221001</v>
      </c>
      <c r="B80" s="1">
        <v>44835</v>
      </c>
      <c r="C80">
        <f t="shared" si="3"/>
        <v>2022</v>
      </c>
      <c r="D80">
        <f t="shared" si="4"/>
        <v>10</v>
      </c>
      <c r="E80" t="str">
        <f t="shared" si="5"/>
        <v>October</v>
      </c>
    </row>
    <row r="81" spans="1:5" x14ac:dyDescent="0.3">
      <c r="A81">
        <v>20240307</v>
      </c>
      <c r="B81" s="1">
        <v>45358</v>
      </c>
      <c r="C81">
        <f t="shared" si="3"/>
        <v>2024</v>
      </c>
      <c r="D81">
        <f t="shared" si="4"/>
        <v>3</v>
      </c>
      <c r="E81" t="str">
        <f t="shared" si="5"/>
        <v>March</v>
      </c>
    </row>
    <row r="82" spans="1:5" x14ac:dyDescent="0.3">
      <c r="A82">
        <v>20220518</v>
      </c>
      <c r="B82" s="1">
        <v>44699</v>
      </c>
      <c r="C82">
        <f t="shared" si="3"/>
        <v>2022</v>
      </c>
      <c r="D82">
        <f t="shared" si="4"/>
        <v>5</v>
      </c>
      <c r="E82" t="str">
        <f t="shared" si="5"/>
        <v>May</v>
      </c>
    </row>
    <row r="83" spans="1:5" x14ac:dyDescent="0.3">
      <c r="A83">
        <v>20240107</v>
      </c>
      <c r="B83" s="1">
        <v>45298</v>
      </c>
      <c r="C83">
        <f t="shared" si="3"/>
        <v>2024</v>
      </c>
      <c r="D83">
        <f t="shared" si="4"/>
        <v>1</v>
      </c>
      <c r="E83" t="str">
        <f t="shared" si="5"/>
        <v>January</v>
      </c>
    </row>
    <row r="84" spans="1:5" x14ac:dyDescent="0.3">
      <c r="A84">
        <v>20220603</v>
      </c>
      <c r="B84" s="1">
        <v>44715</v>
      </c>
      <c r="C84">
        <f t="shared" si="3"/>
        <v>2022</v>
      </c>
      <c r="D84">
        <f t="shared" si="4"/>
        <v>6</v>
      </c>
      <c r="E84" t="str">
        <f t="shared" si="5"/>
        <v>June</v>
      </c>
    </row>
    <row r="85" spans="1:5" x14ac:dyDescent="0.3">
      <c r="A85">
        <v>20250302</v>
      </c>
      <c r="B85" s="1">
        <v>45718</v>
      </c>
      <c r="C85">
        <f t="shared" si="3"/>
        <v>2025</v>
      </c>
      <c r="D85">
        <f t="shared" si="4"/>
        <v>3</v>
      </c>
      <c r="E85" t="str">
        <f t="shared" si="5"/>
        <v>March</v>
      </c>
    </row>
    <row r="86" spans="1:5" x14ac:dyDescent="0.3">
      <c r="A86">
        <v>20240408</v>
      </c>
      <c r="B86" s="1">
        <v>45390</v>
      </c>
      <c r="C86">
        <f t="shared" si="3"/>
        <v>2024</v>
      </c>
      <c r="D86">
        <f t="shared" si="4"/>
        <v>4</v>
      </c>
      <c r="E86" t="str">
        <f t="shared" si="5"/>
        <v>April</v>
      </c>
    </row>
    <row r="87" spans="1:5" x14ac:dyDescent="0.3">
      <c r="A87">
        <v>20220303</v>
      </c>
      <c r="B87" s="1">
        <v>44623</v>
      </c>
      <c r="C87">
        <f t="shared" si="3"/>
        <v>2022</v>
      </c>
      <c r="D87">
        <f t="shared" si="4"/>
        <v>3</v>
      </c>
      <c r="E87" t="str">
        <f t="shared" si="5"/>
        <v>March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D285-C6C6-481E-9FD2-0EDBF4B4FFA1}">
  <dimension ref="A1:K101"/>
  <sheetViews>
    <sheetView tabSelected="1" topLeftCell="A12" workbookViewId="0">
      <selection activeCell="L11" sqref="L11"/>
    </sheetView>
  </sheetViews>
  <sheetFormatPr defaultRowHeight="14.4" x14ac:dyDescent="0.3"/>
  <cols>
    <col min="1" max="1" width="9.6640625" customWidth="1"/>
    <col min="2" max="2" width="14.77734375" bestFit="1" customWidth="1"/>
    <col min="3" max="3" width="18.33203125" bestFit="1" customWidth="1"/>
    <col min="4" max="4" width="10.33203125" bestFit="1" customWidth="1"/>
    <col min="5" max="5" width="11" bestFit="1" customWidth="1"/>
    <col min="6" max="6" width="13.5546875" bestFit="1" customWidth="1"/>
    <col min="7" max="7" width="14.21875" bestFit="1" customWidth="1"/>
    <col min="8" max="8" width="12.77734375" bestFit="1" customWidth="1"/>
    <col min="9" max="9" width="14.33203125" bestFit="1" customWidth="1"/>
    <col min="10" max="10" width="13.88671875" bestFit="1" customWidth="1"/>
    <col min="11" max="11" width="14.88671875" bestFit="1" customWidth="1"/>
  </cols>
  <sheetData>
    <row r="1" spans="1:11" x14ac:dyDescent="0.3">
      <c r="A1" t="s">
        <v>169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0</v>
      </c>
      <c r="I1" t="s">
        <v>8</v>
      </c>
      <c r="J1" t="s">
        <v>18</v>
      </c>
      <c r="K1" t="s">
        <v>16</v>
      </c>
    </row>
    <row r="2" spans="1:11" x14ac:dyDescent="0.3">
      <c r="A2">
        <v>1</v>
      </c>
      <c r="B2" t="s">
        <v>35</v>
      </c>
      <c r="C2">
        <v>1</v>
      </c>
      <c r="D2">
        <v>2</v>
      </c>
      <c r="E2">
        <v>165</v>
      </c>
      <c r="F2">
        <v>159</v>
      </c>
      <c r="G2">
        <v>330</v>
      </c>
      <c r="H2">
        <v>105</v>
      </c>
      <c r="I2">
        <v>1010</v>
      </c>
      <c r="J2">
        <v>20220203</v>
      </c>
      <c r="K2">
        <v>20220131</v>
      </c>
    </row>
    <row r="3" spans="1:11" x14ac:dyDescent="0.3">
      <c r="A3">
        <f>1+A2</f>
        <v>2</v>
      </c>
      <c r="B3" t="s">
        <v>120</v>
      </c>
      <c r="C3">
        <v>1</v>
      </c>
      <c r="D3">
        <v>5</v>
      </c>
      <c r="E3">
        <v>165</v>
      </c>
      <c r="F3">
        <v>155</v>
      </c>
      <c r="G3">
        <v>825</v>
      </c>
      <c r="H3">
        <v>105</v>
      </c>
      <c r="I3">
        <v>1014</v>
      </c>
      <c r="J3">
        <v>20250630</v>
      </c>
      <c r="K3">
        <v>20250629</v>
      </c>
    </row>
    <row r="4" spans="1:11" x14ac:dyDescent="0.3">
      <c r="A4">
        <f>1+A3</f>
        <v>3</v>
      </c>
      <c r="B4" t="s">
        <v>123</v>
      </c>
      <c r="C4">
        <v>1</v>
      </c>
      <c r="D4">
        <v>5</v>
      </c>
      <c r="E4">
        <v>165</v>
      </c>
      <c r="F4">
        <v>160</v>
      </c>
      <c r="G4">
        <v>825</v>
      </c>
      <c r="H4">
        <v>105</v>
      </c>
      <c r="I4">
        <v>1002</v>
      </c>
      <c r="J4">
        <v>20250131</v>
      </c>
      <c r="K4">
        <v>20250130</v>
      </c>
    </row>
    <row r="5" spans="1:11" x14ac:dyDescent="0.3">
      <c r="A5">
        <f t="shared" ref="A5:A68" si="0">1+A4</f>
        <v>4</v>
      </c>
      <c r="B5" t="s">
        <v>129</v>
      </c>
      <c r="C5">
        <v>1</v>
      </c>
      <c r="D5">
        <v>3</v>
      </c>
      <c r="E5">
        <v>165</v>
      </c>
      <c r="F5">
        <v>156</v>
      </c>
      <c r="G5">
        <v>495</v>
      </c>
      <c r="H5">
        <v>105</v>
      </c>
      <c r="I5">
        <v>1014</v>
      </c>
      <c r="J5">
        <v>20221228</v>
      </c>
      <c r="K5">
        <v>20221227</v>
      </c>
    </row>
    <row r="6" spans="1:11" x14ac:dyDescent="0.3">
      <c r="A6">
        <f t="shared" si="0"/>
        <v>5</v>
      </c>
      <c r="B6" t="s">
        <v>139</v>
      </c>
      <c r="C6">
        <v>1</v>
      </c>
      <c r="D6">
        <v>1</v>
      </c>
      <c r="E6">
        <v>165</v>
      </c>
      <c r="F6">
        <v>150</v>
      </c>
      <c r="G6">
        <v>165</v>
      </c>
      <c r="H6">
        <v>105</v>
      </c>
      <c r="I6">
        <v>1010</v>
      </c>
      <c r="J6">
        <v>20240903</v>
      </c>
      <c r="K6">
        <v>20240902</v>
      </c>
    </row>
    <row r="7" spans="1:11" x14ac:dyDescent="0.3">
      <c r="A7">
        <f t="shared" si="0"/>
        <v>6</v>
      </c>
      <c r="B7" t="s">
        <v>50</v>
      </c>
      <c r="C7">
        <v>1</v>
      </c>
      <c r="D7">
        <v>1</v>
      </c>
      <c r="E7">
        <v>465</v>
      </c>
      <c r="F7">
        <v>452</v>
      </c>
      <c r="G7">
        <v>465</v>
      </c>
      <c r="H7">
        <v>112</v>
      </c>
      <c r="I7">
        <v>1043</v>
      </c>
      <c r="J7">
        <v>20251030</v>
      </c>
      <c r="K7">
        <v>20251027</v>
      </c>
    </row>
    <row r="8" spans="1:11" x14ac:dyDescent="0.3">
      <c r="A8">
        <f t="shared" si="0"/>
        <v>7</v>
      </c>
      <c r="B8" t="s">
        <v>63</v>
      </c>
      <c r="C8">
        <v>1</v>
      </c>
      <c r="D8">
        <v>2</v>
      </c>
      <c r="E8">
        <v>465</v>
      </c>
      <c r="F8">
        <v>451</v>
      </c>
      <c r="G8">
        <v>930</v>
      </c>
      <c r="H8">
        <v>112</v>
      </c>
      <c r="I8">
        <v>1043</v>
      </c>
      <c r="J8">
        <v>20220504</v>
      </c>
      <c r="K8">
        <v>20220501</v>
      </c>
    </row>
    <row r="9" spans="1:11" x14ac:dyDescent="0.3">
      <c r="A9">
        <f t="shared" si="0"/>
        <v>8</v>
      </c>
      <c r="B9" t="s">
        <v>75</v>
      </c>
      <c r="C9">
        <v>1</v>
      </c>
      <c r="D9">
        <v>4</v>
      </c>
      <c r="E9">
        <v>465</v>
      </c>
      <c r="F9">
        <v>459</v>
      </c>
      <c r="G9">
        <v>1860</v>
      </c>
      <c r="H9">
        <v>112</v>
      </c>
      <c r="I9">
        <v>1022</v>
      </c>
      <c r="J9">
        <v>20250502</v>
      </c>
      <c r="K9">
        <v>20250430</v>
      </c>
    </row>
    <row r="10" spans="1:11" x14ac:dyDescent="0.3">
      <c r="A10">
        <f t="shared" si="0"/>
        <v>9</v>
      </c>
      <c r="B10" t="s">
        <v>77</v>
      </c>
      <c r="C10">
        <v>1</v>
      </c>
      <c r="D10">
        <v>3</v>
      </c>
      <c r="E10">
        <v>465</v>
      </c>
      <c r="F10">
        <v>454</v>
      </c>
      <c r="G10">
        <v>1395</v>
      </c>
      <c r="H10">
        <v>112</v>
      </c>
      <c r="I10">
        <v>1002</v>
      </c>
      <c r="J10">
        <v>20240606</v>
      </c>
      <c r="K10">
        <v>20240604</v>
      </c>
    </row>
    <row r="11" spans="1:11" x14ac:dyDescent="0.3">
      <c r="A11">
        <f t="shared" si="0"/>
        <v>10</v>
      </c>
      <c r="B11" t="s">
        <v>84</v>
      </c>
      <c r="C11">
        <v>1</v>
      </c>
      <c r="D11">
        <v>5</v>
      </c>
      <c r="E11">
        <v>465</v>
      </c>
      <c r="F11">
        <v>451</v>
      </c>
      <c r="G11">
        <v>2325</v>
      </c>
      <c r="H11">
        <v>112</v>
      </c>
      <c r="I11">
        <v>1022</v>
      </c>
      <c r="J11">
        <v>20220616</v>
      </c>
      <c r="K11">
        <v>20220615</v>
      </c>
    </row>
    <row r="12" spans="1:11" x14ac:dyDescent="0.3">
      <c r="A12">
        <f t="shared" si="0"/>
        <v>11</v>
      </c>
      <c r="B12" t="s">
        <v>96</v>
      </c>
      <c r="C12">
        <v>1</v>
      </c>
      <c r="D12">
        <v>3</v>
      </c>
      <c r="E12">
        <v>465</v>
      </c>
      <c r="F12">
        <v>454</v>
      </c>
      <c r="G12">
        <v>1395</v>
      </c>
      <c r="H12">
        <v>112</v>
      </c>
      <c r="I12">
        <v>1007</v>
      </c>
      <c r="J12">
        <v>20230527</v>
      </c>
      <c r="K12">
        <v>20230526</v>
      </c>
    </row>
    <row r="13" spans="1:11" x14ac:dyDescent="0.3">
      <c r="A13">
        <f t="shared" si="0"/>
        <v>12</v>
      </c>
      <c r="B13" t="s">
        <v>99</v>
      </c>
      <c r="C13">
        <v>1</v>
      </c>
      <c r="D13">
        <v>3</v>
      </c>
      <c r="E13">
        <v>465</v>
      </c>
      <c r="F13">
        <v>459</v>
      </c>
      <c r="G13">
        <v>1395</v>
      </c>
      <c r="H13">
        <v>112</v>
      </c>
      <c r="I13">
        <v>1010</v>
      </c>
      <c r="J13">
        <v>20240221</v>
      </c>
      <c r="K13">
        <v>20240220</v>
      </c>
    </row>
    <row r="14" spans="1:11" x14ac:dyDescent="0.3">
      <c r="A14">
        <f t="shared" si="0"/>
        <v>13</v>
      </c>
      <c r="B14" t="s">
        <v>105</v>
      </c>
      <c r="C14">
        <v>1</v>
      </c>
      <c r="D14">
        <v>1</v>
      </c>
      <c r="E14">
        <v>465</v>
      </c>
      <c r="F14">
        <v>457</v>
      </c>
      <c r="G14">
        <v>465</v>
      </c>
      <c r="H14">
        <v>112</v>
      </c>
      <c r="I14">
        <v>1030</v>
      </c>
      <c r="J14">
        <v>20220915</v>
      </c>
      <c r="K14">
        <v>20220913</v>
      </c>
    </row>
    <row r="15" spans="1:11" x14ac:dyDescent="0.3">
      <c r="A15">
        <f t="shared" si="0"/>
        <v>14</v>
      </c>
      <c r="B15" t="s">
        <v>127</v>
      </c>
      <c r="C15">
        <v>1</v>
      </c>
      <c r="D15">
        <v>3</v>
      </c>
      <c r="E15">
        <v>465</v>
      </c>
      <c r="F15">
        <v>459</v>
      </c>
      <c r="G15">
        <v>1395</v>
      </c>
      <c r="H15">
        <v>112</v>
      </c>
      <c r="I15">
        <v>1007</v>
      </c>
      <c r="J15">
        <v>20220801</v>
      </c>
      <c r="K15">
        <v>20220730</v>
      </c>
    </row>
    <row r="16" spans="1:11" x14ac:dyDescent="0.3">
      <c r="A16">
        <f t="shared" si="0"/>
        <v>15</v>
      </c>
      <c r="B16" t="s">
        <v>132</v>
      </c>
      <c r="C16">
        <v>1</v>
      </c>
      <c r="D16">
        <v>4</v>
      </c>
      <c r="E16">
        <v>465</v>
      </c>
      <c r="F16">
        <v>460</v>
      </c>
      <c r="G16">
        <v>1860</v>
      </c>
      <c r="H16">
        <v>112</v>
      </c>
      <c r="I16">
        <v>1002</v>
      </c>
      <c r="J16">
        <v>20240406</v>
      </c>
      <c r="K16">
        <v>20240405</v>
      </c>
    </row>
    <row r="17" spans="1:11" x14ac:dyDescent="0.3">
      <c r="A17">
        <f t="shared" si="0"/>
        <v>16</v>
      </c>
      <c r="B17" t="s">
        <v>144</v>
      </c>
      <c r="C17">
        <v>1</v>
      </c>
      <c r="D17">
        <v>1</v>
      </c>
      <c r="E17">
        <v>465</v>
      </c>
      <c r="F17">
        <v>451</v>
      </c>
      <c r="G17">
        <v>465</v>
      </c>
      <c r="H17">
        <v>112</v>
      </c>
      <c r="I17">
        <v>1016</v>
      </c>
      <c r="J17">
        <v>20250615</v>
      </c>
      <c r="K17">
        <v>20250614</v>
      </c>
    </row>
    <row r="18" spans="1:11" x14ac:dyDescent="0.3">
      <c r="A18">
        <f t="shared" si="0"/>
        <v>17</v>
      </c>
      <c r="B18" t="s">
        <v>162</v>
      </c>
      <c r="C18">
        <v>1</v>
      </c>
      <c r="D18">
        <v>1</v>
      </c>
      <c r="E18">
        <v>465</v>
      </c>
      <c r="F18">
        <v>452</v>
      </c>
      <c r="G18">
        <v>465</v>
      </c>
      <c r="H18">
        <v>112</v>
      </c>
      <c r="I18">
        <v>1010</v>
      </c>
      <c r="J18">
        <v>20220217</v>
      </c>
      <c r="K18">
        <v>20220215</v>
      </c>
    </row>
    <row r="19" spans="1:11" x14ac:dyDescent="0.3">
      <c r="A19">
        <f t="shared" si="0"/>
        <v>18</v>
      </c>
      <c r="B19" t="s">
        <v>163</v>
      </c>
      <c r="C19">
        <v>1</v>
      </c>
      <c r="D19">
        <v>3</v>
      </c>
      <c r="E19">
        <v>465</v>
      </c>
      <c r="F19">
        <v>459</v>
      </c>
      <c r="G19">
        <v>1395</v>
      </c>
      <c r="H19">
        <v>112</v>
      </c>
      <c r="I19">
        <v>1010</v>
      </c>
      <c r="J19">
        <v>20240903</v>
      </c>
      <c r="K19">
        <v>20240902</v>
      </c>
    </row>
    <row r="20" spans="1:11" x14ac:dyDescent="0.3">
      <c r="A20">
        <f t="shared" si="0"/>
        <v>19</v>
      </c>
      <c r="B20" t="s">
        <v>62</v>
      </c>
      <c r="C20">
        <v>1</v>
      </c>
      <c r="D20">
        <v>3</v>
      </c>
      <c r="E20">
        <v>253</v>
      </c>
      <c r="F20">
        <v>240</v>
      </c>
      <c r="G20">
        <v>759</v>
      </c>
      <c r="H20">
        <v>114</v>
      </c>
      <c r="I20">
        <v>1030</v>
      </c>
      <c r="J20">
        <v>20240423</v>
      </c>
      <c r="K20">
        <v>20240420</v>
      </c>
    </row>
    <row r="21" spans="1:11" x14ac:dyDescent="0.3">
      <c r="A21">
        <f t="shared" si="0"/>
        <v>20</v>
      </c>
      <c r="B21" t="s">
        <v>70</v>
      </c>
      <c r="C21">
        <v>1</v>
      </c>
      <c r="D21">
        <v>1</v>
      </c>
      <c r="E21">
        <v>253</v>
      </c>
      <c r="F21">
        <v>240</v>
      </c>
      <c r="G21">
        <v>253</v>
      </c>
      <c r="H21">
        <v>114</v>
      </c>
      <c r="I21">
        <v>1030</v>
      </c>
      <c r="J21">
        <v>20230909</v>
      </c>
      <c r="K21">
        <v>20230908</v>
      </c>
    </row>
    <row r="22" spans="1:11" x14ac:dyDescent="0.3">
      <c r="A22">
        <f t="shared" si="0"/>
        <v>21</v>
      </c>
      <c r="B22" t="s">
        <v>104</v>
      </c>
      <c r="C22">
        <v>1</v>
      </c>
      <c r="D22">
        <v>1</v>
      </c>
      <c r="E22">
        <v>253</v>
      </c>
      <c r="F22">
        <v>238</v>
      </c>
      <c r="G22">
        <v>253</v>
      </c>
      <c r="H22">
        <v>114</v>
      </c>
      <c r="I22">
        <v>1014</v>
      </c>
      <c r="J22">
        <v>20220304</v>
      </c>
      <c r="K22">
        <v>20220302</v>
      </c>
    </row>
    <row r="23" spans="1:11" x14ac:dyDescent="0.3">
      <c r="A23">
        <f t="shared" si="0"/>
        <v>22</v>
      </c>
      <c r="B23" t="s">
        <v>107</v>
      </c>
      <c r="C23">
        <v>1</v>
      </c>
      <c r="D23">
        <v>1</v>
      </c>
      <c r="E23">
        <v>253</v>
      </c>
      <c r="F23">
        <v>246</v>
      </c>
      <c r="G23">
        <v>253</v>
      </c>
      <c r="H23">
        <v>114</v>
      </c>
      <c r="I23">
        <v>1049</v>
      </c>
      <c r="J23">
        <v>20240905</v>
      </c>
      <c r="K23">
        <v>20240902</v>
      </c>
    </row>
    <row r="24" spans="1:11" x14ac:dyDescent="0.3">
      <c r="A24">
        <f t="shared" si="0"/>
        <v>23</v>
      </c>
      <c r="B24" t="s">
        <v>124</v>
      </c>
      <c r="C24">
        <v>1</v>
      </c>
      <c r="D24">
        <v>3</v>
      </c>
      <c r="E24">
        <v>253</v>
      </c>
      <c r="F24">
        <v>243</v>
      </c>
      <c r="G24">
        <v>759</v>
      </c>
      <c r="H24">
        <v>114</v>
      </c>
      <c r="I24">
        <v>1018</v>
      </c>
      <c r="J24">
        <v>20240507</v>
      </c>
      <c r="K24">
        <v>20240505</v>
      </c>
    </row>
    <row r="25" spans="1:11" x14ac:dyDescent="0.3">
      <c r="A25">
        <f t="shared" si="0"/>
        <v>24</v>
      </c>
      <c r="B25" t="s">
        <v>125</v>
      </c>
      <c r="C25">
        <v>1</v>
      </c>
      <c r="D25">
        <v>4</v>
      </c>
      <c r="E25">
        <v>253</v>
      </c>
      <c r="F25">
        <v>239</v>
      </c>
      <c r="G25">
        <v>1012</v>
      </c>
      <c r="H25">
        <v>114</v>
      </c>
      <c r="I25">
        <v>1007</v>
      </c>
      <c r="J25">
        <v>20220218</v>
      </c>
      <c r="K25">
        <v>20220215</v>
      </c>
    </row>
    <row r="26" spans="1:11" x14ac:dyDescent="0.3">
      <c r="A26">
        <f t="shared" si="0"/>
        <v>25</v>
      </c>
      <c r="B26" t="s">
        <v>135</v>
      </c>
      <c r="C26">
        <v>1</v>
      </c>
      <c r="D26">
        <v>3</v>
      </c>
      <c r="E26">
        <v>253</v>
      </c>
      <c r="F26">
        <v>239</v>
      </c>
      <c r="G26">
        <v>759</v>
      </c>
      <c r="H26">
        <v>114</v>
      </c>
      <c r="I26">
        <v>1022</v>
      </c>
      <c r="J26">
        <v>20240707</v>
      </c>
      <c r="K26">
        <v>20240704</v>
      </c>
    </row>
    <row r="27" spans="1:11" x14ac:dyDescent="0.3">
      <c r="A27">
        <f t="shared" si="0"/>
        <v>26</v>
      </c>
      <c r="B27" t="s">
        <v>140</v>
      </c>
      <c r="C27">
        <v>1</v>
      </c>
      <c r="D27">
        <v>3</v>
      </c>
      <c r="E27">
        <v>253</v>
      </c>
      <c r="F27">
        <v>242</v>
      </c>
      <c r="G27">
        <v>759</v>
      </c>
      <c r="H27">
        <v>114</v>
      </c>
      <c r="I27">
        <v>1030</v>
      </c>
      <c r="J27">
        <v>20240123</v>
      </c>
      <c r="K27">
        <v>20240121</v>
      </c>
    </row>
    <row r="28" spans="1:11" x14ac:dyDescent="0.3">
      <c r="A28">
        <f t="shared" si="0"/>
        <v>27</v>
      </c>
      <c r="B28" t="s">
        <v>142</v>
      </c>
      <c r="C28">
        <v>1</v>
      </c>
      <c r="D28">
        <v>1</v>
      </c>
      <c r="E28">
        <v>253</v>
      </c>
      <c r="F28">
        <v>248</v>
      </c>
      <c r="G28">
        <v>253</v>
      </c>
      <c r="H28">
        <v>114</v>
      </c>
      <c r="I28">
        <v>1007</v>
      </c>
      <c r="J28">
        <v>20240208</v>
      </c>
      <c r="K28">
        <v>20240205</v>
      </c>
    </row>
    <row r="29" spans="1:11" x14ac:dyDescent="0.3">
      <c r="A29">
        <f t="shared" si="0"/>
        <v>28</v>
      </c>
      <c r="B29" t="s">
        <v>149</v>
      </c>
      <c r="C29">
        <v>1</v>
      </c>
      <c r="D29">
        <v>5</v>
      </c>
      <c r="E29">
        <v>253</v>
      </c>
      <c r="F29">
        <v>238</v>
      </c>
      <c r="G29">
        <v>1265</v>
      </c>
      <c r="H29">
        <v>114</v>
      </c>
      <c r="I29">
        <v>1022</v>
      </c>
      <c r="J29">
        <v>20240122</v>
      </c>
      <c r="K29">
        <v>20240121</v>
      </c>
    </row>
    <row r="30" spans="1:11" x14ac:dyDescent="0.3">
      <c r="A30">
        <f t="shared" si="0"/>
        <v>29</v>
      </c>
      <c r="B30" t="s">
        <v>158</v>
      </c>
      <c r="C30">
        <v>1</v>
      </c>
      <c r="D30">
        <v>1</v>
      </c>
      <c r="E30">
        <v>253</v>
      </c>
      <c r="F30">
        <v>246</v>
      </c>
      <c r="G30">
        <v>253</v>
      </c>
      <c r="H30">
        <v>114</v>
      </c>
      <c r="I30">
        <v>1030</v>
      </c>
      <c r="J30">
        <v>20250402</v>
      </c>
      <c r="K30">
        <v>20250331</v>
      </c>
    </row>
    <row r="31" spans="1:11" x14ac:dyDescent="0.3">
      <c r="A31">
        <f t="shared" si="0"/>
        <v>30</v>
      </c>
      <c r="B31" t="s">
        <v>82</v>
      </c>
      <c r="C31">
        <v>1</v>
      </c>
      <c r="D31">
        <v>3</v>
      </c>
      <c r="E31">
        <v>63</v>
      </c>
      <c r="F31">
        <v>55</v>
      </c>
      <c r="G31">
        <v>189</v>
      </c>
      <c r="H31">
        <v>118</v>
      </c>
      <c r="I31">
        <v>1030</v>
      </c>
      <c r="J31">
        <v>20240507</v>
      </c>
      <c r="K31">
        <v>20240505</v>
      </c>
    </row>
    <row r="32" spans="1:11" x14ac:dyDescent="0.3">
      <c r="A32">
        <f t="shared" si="0"/>
        <v>31</v>
      </c>
      <c r="B32" t="s">
        <v>83</v>
      </c>
      <c r="C32">
        <v>1</v>
      </c>
      <c r="D32">
        <v>3</v>
      </c>
      <c r="E32">
        <v>63</v>
      </c>
      <c r="F32">
        <v>48</v>
      </c>
      <c r="G32">
        <v>189</v>
      </c>
      <c r="H32">
        <v>118</v>
      </c>
      <c r="I32">
        <v>1007</v>
      </c>
      <c r="J32">
        <v>20251213</v>
      </c>
      <c r="K32">
        <v>20251211</v>
      </c>
    </row>
    <row r="33" spans="1:11" x14ac:dyDescent="0.3">
      <c r="A33">
        <f t="shared" si="0"/>
        <v>32</v>
      </c>
      <c r="B33" t="s">
        <v>86</v>
      </c>
      <c r="C33">
        <v>1</v>
      </c>
      <c r="D33">
        <v>1</v>
      </c>
      <c r="E33">
        <v>63</v>
      </c>
      <c r="F33">
        <v>54</v>
      </c>
      <c r="G33">
        <v>63</v>
      </c>
      <c r="H33">
        <v>118</v>
      </c>
      <c r="I33">
        <v>1043</v>
      </c>
      <c r="J33">
        <v>20221014</v>
      </c>
      <c r="K33">
        <v>20221013</v>
      </c>
    </row>
    <row r="34" spans="1:11" x14ac:dyDescent="0.3">
      <c r="A34">
        <f t="shared" si="0"/>
        <v>33</v>
      </c>
      <c r="B34" t="s">
        <v>102</v>
      </c>
      <c r="C34">
        <v>1</v>
      </c>
      <c r="D34">
        <v>5</v>
      </c>
      <c r="E34">
        <v>63</v>
      </c>
      <c r="F34">
        <v>49</v>
      </c>
      <c r="G34">
        <v>315</v>
      </c>
      <c r="H34">
        <v>118</v>
      </c>
      <c r="I34">
        <v>1018</v>
      </c>
      <c r="J34">
        <v>20230529</v>
      </c>
      <c r="K34">
        <v>20230526</v>
      </c>
    </row>
    <row r="35" spans="1:11" x14ac:dyDescent="0.3">
      <c r="A35">
        <f t="shared" si="0"/>
        <v>34</v>
      </c>
      <c r="B35" t="s">
        <v>109</v>
      </c>
      <c r="C35">
        <v>1</v>
      </c>
      <c r="D35">
        <v>4</v>
      </c>
      <c r="E35">
        <v>63</v>
      </c>
      <c r="F35">
        <v>58</v>
      </c>
      <c r="G35">
        <v>252</v>
      </c>
      <c r="H35">
        <v>118</v>
      </c>
      <c r="I35">
        <v>1014</v>
      </c>
      <c r="J35">
        <v>20221229</v>
      </c>
      <c r="K35">
        <v>20221227</v>
      </c>
    </row>
    <row r="36" spans="1:11" x14ac:dyDescent="0.3">
      <c r="A36">
        <f t="shared" si="0"/>
        <v>35</v>
      </c>
      <c r="B36" t="s">
        <v>114</v>
      </c>
      <c r="C36">
        <v>1</v>
      </c>
      <c r="D36">
        <v>4</v>
      </c>
      <c r="E36">
        <v>63</v>
      </c>
      <c r="F36">
        <v>51</v>
      </c>
      <c r="G36">
        <v>252</v>
      </c>
      <c r="H36">
        <v>118</v>
      </c>
      <c r="I36">
        <v>1007</v>
      </c>
      <c r="J36">
        <v>20250317</v>
      </c>
      <c r="K36">
        <v>20250316</v>
      </c>
    </row>
    <row r="37" spans="1:11" x14ac:dyDescent="0.3">
      <c r="A37">
        <f t="shared" si="0"/>
        <v>36</v>
      </c>
      <c r="B37" t="s">
        <v>130</v>
      </c>
      <c r="C37">
        <v>1</v>
      </c>
      <c r="D37">
        <v>1</v>
      </c>
      <c r="E37">
        <v>63</v>
      </c>
      <c r="F37">
        <v>49</v>
      </c>
      <c r="G37">
        <v>63</v>
      </c>
      <c r="H37">
        <v>118</v>
      </c>
      <c r="I37">
        <v>1010</v>
      </c>
      <c r="J37">
        <v>20240423</v>
      </c>
      <c r="K37">
        <v>20240420</v>
      </c>
    </row>
    <row r="38" spans="1:11" x14ac:dyDescent="0.3">
      <c r="A38">
        <f t="shared" si="0"/>
        <v>37</v>
      </c>
      <c r="B38" t="s">
        <v>148</v>
      </c>
      <c r="C38">
        <v>1</v>
      </c>
      <c r="D38">
        <v>2</v>
      </c>
      <c r="E38">
        <v>63</v>
      </c>
      <c r="F38">
        <v>52</v>
      </c>
      <c r="G38">
        <v>126</v>
      </c>
      <c r="H38">
        <v>118</v>
      </c>
      <c r="I38">
        <v>1030</v>
      </c>
      <c r="J38">
        <v>20220617</v>
      </c>
      <c r="K38">
        <v>20220615</v>
      </c>
    </row>
    <row r="39" spans="1:11" x14ac:dyDescent="0.3">
      <c r="A39">
        <f t="shared" si="0"/>
        <v>38</v>
      </c>
      <c r="B39" t="s">
        <v>151</v>
      </c>
      <c r="C39">
        <v>1</v>
      </c>
      <c r="D39">
        <v>5</v>
      </c>
      <c r="E39">
        <v>63</v>
      </c>
      <c r="F39">
        <v>56</v>
      </c>
      <c r="G39">
        <v>315</v>
      </c>
      <c r="H39">
        <v>118</v>
      </c>
      <c r="I39">
        <v>1016</v>
      </c>
      <c r="J39">
        <v>20220503</v>
      </c>
      <c r="K39">
        <v>20220501</v>
      </c>
    </row>
    <row r="40" spans="1:11" x14ac:dyDescent="0.3">
      <c r="A40">
        <f t="shared" si="0"/>
        <v>39</v>
      </c>
      <c r="B40" t="s">
        <v>152</v>
      </c>
      <c r="C40">
        <v>1</v>
      </c>
      <c r="D40">
        <v>5</v>
      </c>
      <c r="E40">
        <v>63</v>
      </c>
      <c r="F40">
        <v>48</v>
      </c>
      <c r="G40">
        <v>315</v>
      </c>
      <c r="H40">
        <v>118</v>
      </c>
      <c r="I40">
        <v>1016</v>
      </c>
      <c r="J40">
        <v>20250131</v>
      </c>
      <c r="K40">
        <v>20250130</v>
      </c>
    </row>
    <row r="41" spans="1:11" x14ac:dyDescent="0.3">
      <c r="A41">
        <f t="shared" si="0"/>
        <v>40</v>
      </c>
      <c r="B41" t="s">
        <v>159</v>
      </c>
      <c r="C41">
        <v>1</v>
      </c>
      <c r="D41">
        <v>5</v>
      </c>
      <c r="E41">
        <v>63</v>
      </c>
      <c r="F41">
        <v>57</v>
      </c>
      <c r="G41">
        <v>315</v>
      </c>
      <c r="H41">
        <v>118</v>
      </c>
      <c r="I41">
        <v>1002</v>
      </c>
      <c r="J41">
        <v>20221215</v>
      </c>
      <c r="K41">
        <v>20221212</v>
      </c>
    </row>
    <row r="42" spans="1:11" x14ac:dyDescent="0.3">
      <c r="A42">
        <f t="shared" si="0"/>
        <v>41</v>
      </c>
      <c r="B42" t="s">
        <v>164</v>
      </c>
      <c r="C42">
        <v>1</v>
      </c>
      <c r="D42">
        <v>1</v>
      </c>
      <c r="E42">
        <v>63</v>
      </c>
      <c r="F42">
        <v>52</v>
      </c>
      <c r="G42">
        <v>63</v>
      </c>
      <c r="H42">
        <v>118</v>
      </c>
      <c r="I42">
        <v>1030</v>
      </c>
      <c r="J42">
        <v>20240805</v>
      </c>
      <c r="K42">
        <v>20240803</v>
      </c>
    </row>
    <row r="43" spans="1:11" x14ac:dyDescent="0.3">
      <c r="A43">
        <f t="shared" si="0"/>
        <v>42</v>
      </c>
      <c r="B43" t="s">
        <v>56</v>
      </c>
      <c r="C43">
        <v>1</v>
      </c>
      <c r="D43">
        <v>5</v>
      </c>
      <c r="E43">
        <v>282</v>
      </c>
      <c r="F43">
        <v>273</v>
      </c>
      <c r="G43">
        <v>1410</v>
      </c>
      <c r="H43">
        <v>119</v>
      </c>
      <c r="I43">
        <v>1002</v>
      </c>
      <c r="J43">
        <v>20231210</v>
      </c>
      <c r="K43">
        <v>20231207</v>
      </c>
    </row>
    <row r="44" spans="1:11" x14ac:dyDescent="0.3">
      <c r="A44">
        <f t="shared" si="0"/>
        <v>43</v>
      </c>
      <c r="B44" t="s">
        <v>64</v>
      </c>
      <c r="C44">
        <v>1</v>
      </c>
      <c r="D44">
        <v>2</v>
      </c>
      <c r="E44">
        <v>282</v>
      </c>
      <c r="F44">
        <v>270</v>
      </c>
      <c r="G44">
        <v>564</v>
      </c>
      <c r="H44">
        <v>119</v>
      </c>
      <c r="I44">
        <v>1043</v>
      </c>
      <c r="J44">
        <v>20240621</v>
      </c>
      <c r="K44">
        <v>20240619</v>
      </c>
    </row>
    <row r="45" spans="1:11" x14ac:dyDescent="0.3">
      <c r="A45">
        <f t="shared" si="0"/>
        <v>44</v>
      </c>
      <c r="B45" t="s">
        <v>65</v>
      </c>
      <c r="C45">
        <v>1</v>
      </c>
      <c r="D45">
        <v>1</v>
      </c>
      <c r="E45">
        <v>282</v>
      </c>
      <c r="F45">
        <v>267</v>
      </c>
      <c r="G45">
        <v>282</v>
      </c>
      <c r="H45">
        <v>119</v>
      </c>
      <c r="I45">
        <v>1014</v>
      </c>
      <c r="J45">
        <v>20220320</v>
      </c>
      <c r="K45">
        <v>20220317</v>
      </c>
    </row>
    <row r="46" spans="1:11" x14ac:dyDescent="0.3">
      <c r="A46">
        <f t="shared" si="0"/>
        <v>45</v>
      </c>
      <c r="B46" t="s">
        <v>76</v>
      </c>
      <c r="C46">
        <v>1</v>
      </c>
      <c r="D46">
        <v>3</v>
      </c>
      <c r="E46">
        <v>282</v>
      </c>
      <c r="F46">
        <v>269</v>
      </c>
      <c r="G46">
        <v>846</v>
      </c>
      <c r="H46">
        <v>119</v>
      </c>
      <c r="I46">
        <v>1030</v>
      </c>
      <c r="J46">
        <v>20250503</v>
      </c>
      <c r="K46">
        <v>20250430</v>
      </c>
    </row>
    <row r="47" spans="1:11" x14ac:dyDescent="0.3">
      <c r="A47">
        <f t="shared" si="0"/>
        <v>46</v>
      </c>
      <c r="B47" t="s">
        <v>92</v>
      </c>
      <c r="C47">
        <v>1</v>
      </c>
      <c r="D47">
        <v>1</v>
      </c>
      <c r="E47">
        <v>282</v>
      </c>
      <c r="F47">
        <v>269</v>
      </c>
      <c r="G47">
        <v>282</v>
      </c>
      <c r="H47">
        <v>119</v>
      </c>
      <c r="I47">
        <v>1049</v>
      </c>
      <c r="J47">
        <v>20220703</v>
      </c>
      <c r="K47">
        <v>20220630</v>
      </c>
    </row>
    <row r="48" spans="1:11" x14ac:dyDescent="0.3">
      <c r="A48">
        <f t="shared" si="0"/>
        <v>47</v>
      </c>
      <c r="B48" t="s">
        <v>108</v>
      </c>
      <c r="C48">
        <v>1</v>
      </c>
      <c r="D48">
        <v>5</v>
      </c>
      <c r="E48">
        <v>282</v>
      </c>
      <c r="F48">
        <v>273</v>
      </c>
      <c r="G48">
        <v>1410</v>
      </c>
      <c r="H48">
        <v>119</v>
      </c>
      <c r="I48">
        <v>1022</v>
      </c>
      <c r="J48">
        <v>20221228</v>
      </c>
      <c r="K48">
        <v>20221227</v>
      </c>
    </row>
    <row r="49" spans="1:11" x14ac:dyDescent="0.3">
      <c r="A49">
        <f t="shared" si="0"/>
        <v>48</v>
      </c>
      <c r="B49" t="s">
        <v>110</v>
      </c>
      <c r="C49">
        <v>1</v>
      </c>
      <c r="D49">
        <v>4</v>
      </c>
      <c r="E49">
        <v>282</v>
      </c>
      <c r="F49">
        <v>267</v>
      </c>
      <c r="G49">
        <v>1128</v>
      </c>
      <c r="H49">
        <v>119</v>
      </c>
      <c r="I49">
        <v>1018</v>
      </c>
      <c r="J49">
        <v>20250915</v>
      </c>
      <c r="K49">
        <v>20250912</v>
      </c>
    </row>
    <row r="50" spans="1:11" x14ac:dyDescent="0.3">
      <c r="A50">
        <f t="shared" si="0"/>
        <v>49</v>
      </c>
      <c r="B50" t="s">
        <v>116</v>
      </c>
      <c r="C50">
        <v>1</v>
      </c>
      <c r="D50">
        <v>5</v>
      </c>
      <c r="E50">
        <v>282</v>
      </c>
      <c r="F50">
        <v>277</v>
      </c>
      <c r="G50">
        <v>1410</v>
      </c>
      <c r="H50">
        <v>119</v>
      </c>
      <c r="I50">
        <v>1007</v>
      </c>
      <c r="J50">
        <v>20240605</v>
      </c>
      <c r="K50">
        <v>20240604</v>
      </c>
    </row>
    <row r="51" spans="1:11" x14ac:dyDescent="0.3">
      <c r="A51">
        <f t="shared" si="0"/>
        <v>50</v>
      </c>
      <c r="B51" t="s">
        <v>119</v>
      </c>
      <c r="C51">
        <v>1</v>
      </c>
      <c r="D51">
        <v>5</v>
      </c>
      <c r="E51">
        <v>282</v>
      </c>
      <c r="F51">
        <v>274</v>
      </c>
      <c r="G51">
        <v>1410</v>
      </c>
      <c r="H51">
        <v>119</v>
      </c>
      <c r="I51">
        <v>1002</v>
      </c>
      <c r="J51">
        <v>20241104</v>
      </c>
      <c r="K51">
        <v>20241101</v>
      </c>
    </row>
    <row r="52" spans="1:11" x14ac:dyDescent="0.3">
      <c r="A52">
        <f t="shared" si="0"/>
        <v>51</v>
      </c>
      <c r="B52" t="s">
        <v>121</v>
      </c>
      <c r="C52">
        <v>1</v>
      </c>
      <c r="D52">
        <v>2</v>
      </c>
      <c r="E52">
        <v>282</v>
      </c>
      <c r="F52">
        <v>268</v>
      </c>
      <c r="G52">
        <v>564</v>
      </c>
      <c r="H52">
        <v>119</v>
      </c>
      <c r="I52">
        <v>1018</v>
      </c>
      <c r="J52">
        <v>20220702</v>
      </c>
      <c r="K52">
        <v>20220630</v>
      </c>
    </row>
    <row r="53" spans="1:11" x14ac:dyDescent="0.3">
      <c r="A53">
        <f t="shared" si="0"/>
        <v>52</v>
      </c>
      <c r="B53" t="s">
        <v>126</v>
      </c>
      <c r="C53">
        <v>1</v>
      </c>
      <c r="D53">
        <v>4</v>
      </c>
      <c r="E53">
        <v>282</v>
      </c>
      <c r="F53">
        <v>267</v>
      </c>
      <c r="G53">
        <v>1128</v>
      </c>
      <c r="H53">
        <v>119</v>
      </c>
      <c r="I53">
        <v>1043</v>
      </c>
      <c r="J53">
        <v>20220701</v>
      </c>
      <c r="K53">
        <v>20220630</v>
      </c>
    </row>
    <row r="54" spans="1:11" x14ac:dyDescent="0.3">
      <c r="A54">
        <f t="shared" si="0"/>
        <v>53</v>
      </c>
      <c r="B54" t="s">
        <v>128</v>
      </c>
      <c r="C54">
        <v>1</v>
      </c>
      <c r="D54">
        <v>5</v>
      </c>
      <c r="E54">
        <v>282</v>
      </c>
      <c r="F54">
        <v>268</v>
      </c>
      <c r="G54">
        <v>1410</v>
      </c>
      <c r="H54">
        <v>119</v>
      </c>
      <c r="I54">
        <v>1007</v>
      </c>
      <c r="J54">
        <v>20230213</v>
      </c>
      <c r="K54">
        <v>20230210</v>
      </c>
    </row>
    <row r="55" spans="1:11" x14ac:dyDescent="0.3">
      <c r="A55">
        <f t="shared" si="0"/>
        <v>54</v>
      </c>
      <c r="B55" t="s">
        <v>133</v>
      </c>
      <c r="C55">
        <v>1</v>
      </c>
      <c r="D55">
        <v>1</v>
      </c>
      <c r="E55">
        <v>282</v>
      </c>
      <c r="F55">
        <v>275</v>
      </c>
      <c r="G55">
        <v>282</v>
      </c>
      <c r="H55">
        <v>119</v>
      </c>
      <c r="I55">
        <v>1043</v>
      </c>
      <c r="J55">
        <v>20250701</v>
      </c>
      <c r="K55">
        <v>20250629</v>
      </c>
    </row>
    <row r="56" spans="1:11" x14ac:dyDescent="0.3">
      <c r="A56">
        <f t="shared" si="0"/>
        <v>55</v>
      </c>
      <c r="B56" t="s">
        <v>134</v>
      </c>
      <c r="C56">
        <v>1</v>
      </c>
      <c r="D56">
        <v>3</v>
      </c>
      <c r="E56">
        <v>282</v>
      </c>
      <c r="F56">
        <v>271</v>
      </c>
      <c r="G56">
        <v>846</v>
      </c>
      <c r="H56">
        <v>119</v>
      </c>
      <c r="I56">
        <v>1010</v>
      </c>
      <c r="J56">
        <v>20250403</v>
      </c>
      <c r="K56">
        <v>20250331</v>
      </c>
    </row>
    <row r="57" spans="1:11" x14ac:dyDescent="0.3">
      <c r="A57">
        <f t="shared" si="0"/>
        <v>56</v>
      </c>
      <c r="B57" t="s">
        <v>138</v>
      </c>
      <c r="C57">
        <v>1</v>
      </c>
      <c r="D57">
        <v>2</v>
      </c>
      <c r="E57">
        <v>282</v>
      </c>
      <c r="F57">
        <v>272</v>
      </c>
      <c r="G57">
        <v>564</v>
      </c>
      <c r="H57">
        <v>119</v>
      </c>
      <c r="I57">
        <v>1014</v>
      </c>
      <c r="J57">
        <v>20250602</v>
      </c>
      <c r="K57">
        <v>20250530</v>
      </c>
    </row>
    <row r="58" spans="1:11" x14ac:dyDescent="0.3">
      <c r="A58">
        <f t="shared" si="0"/>
        <v>57</v>
      </c>
      <c r="B58" t="s">
        <v>141</v>
      </c>
      <c r="C58">
        <v>1</v>
      </c>
      <c r="D58">
        <v>3</v>
      </c>
      <c r="E58">
        <v>282</v>
      </c>
      <c r="F58">
        <v>276</v>
      </c>
      <c r="G58">
        <v>846</v>
      </c>
      <c r="H58">
        <v>119</v>
      </c>
      <c r="I58">
        <v>1030</v>
      </c>
      <c r="J58">
        <v>20230228</v>
      </c>
      <c r="K58">
        <v>20230225</v>
      </c>
    </row>
    <row r="59" spans="1:11" x14ac:dyDescent="0.3">
      <c r="A59">
        <f t="shared" si="0"/>
        <v>58</v>
      </c>
      <c r="B59" t="s">
        <v>150</v>
      </c>
      <c r="C59">
        <v>1</v>
      </c>
      <c r="D59">
        <v>4</v>
      </c>
      <c r="E59">
        <v>282</v>
      </c>
      <c r="F59">
        <v>267</v>
      </c>
      <c r="G59">
        <v>1128</v>
      </c>
      <c r="H59">
        <v>119</v>
      </c>
      <c r="I59">
        <v>1022</v>
      </c>
      <c r="J59">
        <v>20240308</v>
      </c>
      <c r="K59">
        <v>20240306</v>
      </c>
    </row>
    <row r="60" spans="1:11" x14ac:dyDescent="0.3">
      <c r="A60">
        <f t="shared" si="0"/>
        <v>59</v>
      </c>
      <c r="B60" t="s">
        <v>155</v>
      </c>
      <c r="C60">
        <v>1</v>
      </c>
      <c r="D60">
        <v>4</v>
      </c>
      <c r="E60">
        <v>282</v>
      </c>
      <c r="F60">
        <v>275</v>
      </c>
      <c r="G60">
        <v>1128</v>
      </c>
      <c r="H60">
        <v>119</v>
      </c>
      <c r="I60">
        <v>1007</v>
      </c>
      <c r="J60">
        <v>20241019</v>
      </c>
      <c r="K60">
        <v>20241017</v>
      </c>
    </row>
    <row r="61" spans="1:11" x14ac:dyDescent="0.3">
      <c r="A61">
        <f t="shared" si="0"/>
        <v>60</v>
      </c>
      <c r="B61" t="s">
        <v>157</v>
      </c>
      <c r="C61">
        <v>1</v>
      </c>
      <c r="D61">
        <v>1</v>
      </c>
      <c r="E61">
        <v>282</v>
      </c>
      <c r="F61">
        <v>276</v>
      </c>
      <c r="G61">
        <v>282</v>
      </c>
      <c r="H61">
        <v>119</v>
      </c>
      <c r="I61">
        <v>1018</v>
      </c>
      <c r="J61">
        <v>20241202</v>
      </c>
      <c r="K61">
        <v>20241201</v>
      </c>
    </row>
    <row r="62" spans="1:11" x14ac:dyDescent="0.3">
      <c r="A62">
        <f t="shared" si="0"/>
        <v>61</v>
      </c>
      <c r="B62" t="s">
        <v>59</v>
      </c>
      <c r="C62">
        <v>1</v>
      </c>
      <c r="D62">
        <v>3</v>
      </c>
      <c r="E62">
        <v>215</v>
      </c>
      <c r="F62">
        <v>208</v>
      </c>
      <c r="G62">
        <v>645</v>
      </c>
      <c r="H62">
        <v>121</v>
      </c>
      <c r="I62">
        <v>1043</v>
      </c>
      <c r="J62">
        <v>20220418</v>
      </c>
      <c r="K62">
        <v>20220416</v>
      </c>
    </row>
    <row r="63" spans="1:11" x14ac:dyDescent="0.3">
      <c r="A63">
        <f t="shared" si="0"/>
        <v>62</v>
      </c>
      <c r="B63" t="s">
        <v>91</v>
      </c>
      <c r="C63">
        <v>1</v>
      </c>
      <c r="D63">
        <v>3</v>
      </c>
      <c r="E63">
        <v>215</v>
      </c>
      <c r="F63">
        <v>207</v>
      </c>
      <c r="G63">
        <v>645</v>
      </c>
      <c r="H63">
        <v>121</v>
      </c>
      <c r="I63">
        <v>1043</v>
      </c>
      <c r="J63">
        <v>20230328</v>
      </c>
      <c r="K63">
        <v>20230327</v>
      </c>
    </row>
    <row r="64" spans="1:11" x14ac:dyDescent="0.3">
      <c r="A64">
        <f t="shared" si="0"/>
        <v>63</v>
      </c>
      <c r="B64" t="s">
        <v>93</v>
      </c>
      <c r="C64">
        <v>1</v>
      </c>
      <c r="D64">
        <v>1</v>
      </c>
      <c r="E64">
        <v>215</v>
      </c>
      <c r="F64">
        <v>201</v>
      </c>
      <c r="G64">
        <v>215</v>
      </c>
      <c r="H64">
        <v>121</v>
      </c>
      <c r="I64">
        <v>1049</v>
      </c>
      <c r="J64">
        <v>20251228</v>
      </c>
      <c r="K64">
        <v>20251226</v>
      </c>
    </row>
    <row r="65" spans="1:11" x14ac:dyDescent="0.3">
      <c r="A65">
        <f t="shared" si="0"/>
        <v>64</v>
      </c>
      <c r="B65" t="s">
        <v>101</v>
      </c>
      <c r="C65">
        <v>1</v>
      </c>
      <c r="D65">
        <v>1</v>
      </c>
      <c r="E65">
        <v>215</v>
      </c>
      <c r="F65">
        <v>207</v>
      </c>
      <c r="G65">
        <v>215</v>
      </c>
      <c r="H65">
        <v>121</v>
      </c>
      <c r="I65">
        <v>1007</v>
      </c>
      <c r="J65">
        <v>20241019</v>
      </c>
      <c r="K65">
        <v>20241017</v>
      </c>
    </row>
    <row r="66" spans="1:11" x14ac:dyDescent="0.3">
      <c r="A66">
        <f t="shared" si="0"/>
        <v>65</v>
      </c>
      <c r="B66" t="s">
        <v>111</v>
      </c>
      <c r="C66">
        <v>1</v>
      </c>
      <c r="D66">
        <v>5</v>
      </c>
      <c r="E66">
        <v>215</v>
      </c>
      <c r="F66">
        <v>203</v>
      </c>
      <c r="G66">
        <v>1075</v>
      </c>
      <c r="H66">
        <v>121</v>
      </c>
      <c r="I66">
        <v>1043</v>
      </c>
      <c r="J66">
        <v>20220731</v>
      </c>
      <c r="K66">
        <v>20220730</v>
      </c>
    </row>
    <row r="67" spans="1:11" x14ac:dyDescent="0.3">
      <c r="A67">
        <f t="shared" si="0"/>
        <v>66</v>
      </c>
      <c r="B67" t="s">
        <v>113</v>
      </c>
      <c r="C67">
        <v>1</v>
      </c>
      <c r="D67">
        <v>1</v>
      </c>
      <c r="E67">
        <v>215</v>
      </c>
      <c r="F67">
        <v>200</v>
      </c>
      <c r="G67">
        <v>215</v>
      </c>
      <c r="H67">
        <v>121</v>
      </c>
      <c r="I67">
        <v>1043</v>
      </c>
      <c r="J67">
        <v>20220831</v>
      </c>
      <c r="K67">
        <v>20220829</v>
      </c>
    </row>
    <row r="68" spans="1:11" x14ac:dyDescent="0.3">
      <c r="A68">
        <f t="shared" si="0"/>
        <v>67</v>
      </c>
      <c r="B68" t="s">
        <v>122</v>
      </c>
      <c r="C68">
        <v>1</v>
      </c>
      <c r="D68">
        <v>3</v>
      </c>
      <c r="E68">
        <v>215</v>
      </c>
      <c r="F68">
        <v>201</v>
      </c>
      <c r="G68">
        <v>645</v>
      </c>
      <c r="H68">
        <v>121</v>
      </c>
      <c r="I68">
        <v>1010</v>
      </c>
      <c r="J68">
        <v>20250103</v>
      </c>
      <c r="K68">
        <v>20241231</v>
      </c>
    </row>
    <row r="69" spans="1:11" x14ac:dyDescent="0.3">
      <c r="A69">
        <f t="shared" ref="A69:A101" si="1">1+A68</f>
        <v>68</v>
      </c>
      <c r="B69" t="s">
        <v>131</v>
      </c>
      <c r="C69">
        <v>1</v>
      </c>
      <c r="D69">
        <v>3</v>
      </c>
      <c r="E69">
        <v>215</v>
      </c>
      <c r="F69">
        <v>206</v>
      </c>
      <c r="G69">
        <v>645</v>
      </c>
      <c r="H69">
        <v>121</v>
      </c>
      <c r="I69">
        <v>1022</v>
      </c>
      <c r="J69">
        <v>20230627</v>
      </c>
      <c r="K69">
        <v>20230625</v>
      </c>
    </row>
    <row r="70" spans="1:11" x14ac:dyDescent="0.3">
      <c r="A70">
        <f t="shared" si="1"/>
        <v>69</v>
      </c>
      <c r="B70" t="s">
        <v>143</v>
      </c>
      <c r="C70">
        <v>1</v>
      </c>
      <c r="D70">
        <v>4</v>
      </c>
      <c r="E70">
        <v>215</v>
      </c>
      <c r="F70">
        <v>207</v>
      </c>
      <c r="G70">
        <v>860</v>
      </c>
      <c r="H70">
        <v>121</v>
      </c>
      <c r="I70">
        <v>1049</v>
      </c>
      <c r="J70">
        <v>20250202</v>
      </c>
      <c r="K70">
        <v>20250130</v>
      </c>
    </row>
    <row r="71" spans="1:11" x14ac:dyDescent="0.3">
      <c r="A71">
        <f t="shared" si="1"/>
        <v>70</v>
      </c>
      <c r="B71" t="s">
        <v>147</v>
      </c>
      <c r="C71">
        <v>1</v>
      </c>
      <c r="D71">
        <v>3</v>
      </c>
      <c r="E71">
        <v>215</v>
      </c>
      <c r="F71">
        <v>206</v>
      </c>
      <c r="G71">
        <v>645</v>
      </c>
      <c r="H71">
        <v>121</v>
      </c>
      <c r="I71">
        <v>1043</v>
      </c>
      <c r="J71">
        <v>20230712</v>
      </c>
      <c r="K71">
        <v>20230710</v>
      </c>
    </row>
    <row r="72" spans="1:11" x14ac:dyDescent="0.3">
      <c r="A72">
        <f t="shared" si="1"/>
        <v>71</v>
      </c>
      <c r="B72" t="s">
        <v>156</v>
      </c>
      <c r="C72">
        <v>1</v>
      </c>
      <c r="D72">
        <v>5</v>
      </c>
      <c r="E72">
        <v>215</v>
      </c>
      <c r="F72">
        <v>206</v>
      </c>
      <c r="G72">
        <v>1075</v>
      </c>
      <c r="H72">
        <v>121</v>
      </c>
      <c r="I72">
        <v>1014</v>
      </c>
      <c r="J72">
        <v>20250418</v>
      </c>
      <c r="K72">
        <v>20250415</v>
      </c>
    </row>
    <row r="73" spans="1:11" x14ac:dyDescent="0.3">
      <c r="A73">
        <f t="shared" si="1"/>
        <v>72</v>
      </c>
      <c r="B73" t="s">
        <v>74</v>
      </c>
      <c r="C73">
        <v>1</v>
      </c>
      <c r="D73">
        <v>4</v>
      </c>
      <c r="E73">
        <v>401</v>
      </c>
      <c r="F73">
        <v>387</v>
      </c>
      <c r="G73">
        <v>1604</v>
      </c>
      <c r="H73">
        <v>128</v>
      </c>
      <c r="I73">
        <v>1010</v>
      </c>
      <c r="J73">
        <v>20240406</v>
      </c>
      <c r="K73">
        <v>20240405</v>
      </c>
    </row>
    <row r="74" spans="1:11" x14ac:dyDescent="0.3">
      <c r="A74">
        <f t="shared" si="1"/>
        <v>73</v>
      </c>
      <c r="B74" t="s">
        <v>106</v>
      </c>
      <c r="C74">
        <v>1</v>
      </c>
      <c r="D74">
        <v>5</v>
      </c>
      <c r="E74">
        <v>401</v>
      </c>
      <c r="F74">
        <v>386</v>
      </c>
      <c r="G74">
        <v>2005</v>
      </c>
      <c r="H74">
        <v>128</v>
      </c>
      <c r="I74">
        <v>1022</v>
      </c>
      <c r="J74">
        <v>20241018</v>
      </c>
      <c r="K74">
        <v>20241017</v>
      </c>
    </row>
    <row r="75" spans="1:11" x14ac:dyDescent="0.3">
      <c r="A75">
        <f t="shared" si="1"/>
        <v>74</v>
      </c>
      <c r="B75" t="s">
        <v>112</v>
      </c>
      <c r="C75">
        <v>1</v>
      </c>
      <c r="D75">
        <v>3</v>
      </c>
      <c r="E75">
        <v>401</v>
      </c>
      <c r="F75">
        <v>387</v>
      </c>
      <c r="G75">
        <v>1203</v>
      </c>
      <c r="H75">
        <v>128</v>
      </c>
      <c r="I75">
        <v>1016</v>
      </c>
      <c r="J75">
        <v>20220404</v>
      </c>
      <c r="K75">
        <v>20220401</v>
      </c>
    </row>
    <row r="76" spans="1:11" x14ac:dyDescent="0.3">
      <c r="A76">
        <f t="shared" si="1"/>
        <v>75</v>
      </c>
      <c r="B76" t="s">
        <v>117</v>
      </c>
      <c r="C76">
        <v>1</v>
      </c>
      <c r="D76">
        <v>3</v>
      </c>
      <c r="E76">
        <v>401</v>
      </c>
      <c r="F76">
        <v>390</v>
      </c>
      <c r="G76">
        <v>1203</v>
      </c>
      <c r="H76">
        <v>128</v>
      </c>
      <c r="I76">
        <v>1007</v>
      </c>
      <c r="J76">
        <v>20250304</v>
      </c>
      <c r="K76">
        <v>20250301</v>
      </c>
    </row>
    <row r="77" spans="1:11" x14ac:dyDescent="0.3">
      <c r="A77">
        <f t="shared" si="1"/>
        <v>76</v>
      </c>
      <c r="B77" t="s">
        <v>153</v>
      </c>
      <c r="C77">
        <v>1</v>
      </c>
      <c r="D77">
        <v>3</v>
      </c>
      <c r="E77">
        <v>401</v>
      </c>
      <c r="F77">
        <v>395</v>
      </c>
      <c r="G77">
        <v>1203</v>
      </c>
      <c r="H77">
        <v>128</v>
      </c>
      <c r="I77">
        <v>1018</v>
      </c>
      <c r="J77">
        <v>20220717</v>
      </c>
      <c r="K77">
        <v>20220715</v>
      </c>
    </row>
    <row r="78" spans="1:11" x14ac:dyDescent="0.3">
      <c r="A78">
        <f t="shared" si="1"/>
        <v>77</v>
      </c>
      <c r="B78" t="s">
        <v>154</v>
      </c>
      <c r="C78">
        <v>1</v>
      </c>
      <c r="D78">
        <v>4</v>
      </c>
      <c r="E78">
        <v>401</v>
      </c>
      <c r="F78">
        <v>386</v>
      </c>
      <c r="G78">
        <v>1604</v>
      </c>
      <c r="H78">
        <v>128</v>
      </c>
      <c r="I78">
        <v>1049</v>
      </c>
      <c r="J78">
        <v>20230413</v>
      </c>
      <c r="K78">
        <v>20230411</v>
      </c>
    </row>
    <row r="79" spans="1:11" x14ac:dyDescent="0.3">
      <c r="A79">
        <f t="shared" si="1"/>
        <v>78</v>
      </c>
      <c r="B79" t="s">
        <v>69</v>
      </c>
      <c r="C79">
        <v>1</v>
      </c>
      <c r="D79">
        <v>5</v>
      </c>
      <c r="E79">
        <v>66</v>
      </c>
      <c r="F79">
        <v>52</v>
      </c>
      <c r="G79">
        <v>330</v>
      </c>
      <c r="H79">
        <v>141</v>
      </c>
      <c r="I79">
        <v>1018</v>
      </c>
      <c r="J79">
        <v>20230613</v>
      </c>
      <c r="K79">
        <v>20230610</v>
      </c>
    </row>
    <row r="80" spans="1:11" x14ac:dyDescent="0.3">
      <c r="A80">
        <f t="shared" si="1"/>
        <v>79</v>
      </c>
      <c r="B80" t="s">
        <v>78</v>
      </c>
      <c r="C80">
        <v>1</v>
      </c>
      <c r="D80">
        <v>4</v>
      </c>
      <c r="E80">
        <v>66</v>
      </c>
      <c r="F80">
        <v>58</v>
      </c>
      <c r="G80">
        <v>264</v>
      </c>
      <c r="H80">
        <v>141</v>
      </c>
      <c r="I80">
        <v>1014</v>
      </c>
      <c r="J80">
        <v>20241119</v>
      </c>
      <c r="K80">
        <v>20241116</v>
      </c>
    </row>
    <row r="81" spans="1:11" x14ac:dyDescent="0.3">
      <c r="A81">
        <f t="shared" si="1"/>
        <v>80</v>
      </c>
      <c r="B81" t="s">
        <v>87</v>
      </c>
      <c r="C81">
        <v>1</v>
      </c>
      <c r="D81">
        <v>3</v>
      </c>
      <c r="E81">
        <v>66</v>
      </c>
      <c r="F81">
        <v>55</v>
      </c>
      <c r="G81">
        <v>198</v>
      </c>
      <c r="H81">
        <v>141</v>
      </c>
      <c r="I81">
        <v>1030</v>
      </c>
      <c r="J81">
        <v>20220102</v>
      </c>
      <c r="K81">
        <v>20220101</v>
      </c>
    </row>
    <row r="82" spans="1:11" x14ac:dyDescent="0.3">
      <c r="A82">
        <f t="shared" si="1"/>
        <v>81</v>
      </c>
      <c r="B82" t="s">
        <v>88</v>
      </c>
      <c r="C82">
        <v>1</v>
      </c>
      <c r="D82">
        <v>3</v>
      </c>
      <c r="E82">
        <v>66</v>
      </c>
      <c r="F82">
        <v>51</v>
      </c>
      <c r="G82">
        <v>198</v>
      </c>
      <c r="H82">
        <v>141</v>
      </c>
      <c r="I82">
        <v>1010</v>
      </c>
      <c r="J82">
        <v>20220618</v>
      </c>
      <c r="K82">
        <v>20220615</v>
      </c>
    </row>
    <row r="83" spans="1:11" x14ac:dyDescent="0.3">
      <c r="A83">
        <f t="shared" si="1"/>
        <v>82</v>
      </c>
      <c r="B83" t="s">
        <v>89</v>
      </c>
      <c r="C83">
        <v>1</v>
      </c>
      <c r="D83">
        <v>2</v>
      </c>
      <c r="E83">
        <v>66</v>
      </c>
      <c r="F83">
        <v>54</v>
      </c>
      <c r="G83">
        <v>132</v>
      </c>
      <c r="H83">
        <v>141</v>
      </c>
      <c r="I83">
        <v>1002</v>
      </c>
      <c r="J83">
        <v>20240308</v>
      </c>
      <c r="K83">
        <v>20240306</v>
      </c>
    </row>
    <row r="84" spans="1:11" x14ac:dyDescent="0.3">
      <c r="A84">
        <f t="shared" si="1"/>
        <v>83</v>
      </c>
      <c r="B84" t="s">
        <v>90</v>
      </c>
      <c r="C84">
        <v>1</v>
      </c>
      <c r="D84">
        <v>4</v>
      </c>
      <c r="E84">
        <v>66</v>
      </c>
      <c r="F84">
        <v>56</v>
      </c>
      <c r="G84">
        <v>264</v>
      </c>
      <c r="H84">
        <v>141</v>
      </c>
      <c r="I84">
        <v>1043</v>
      </c>
      <c r="J84">
        <v>20220916</v>
      </c>
      <c r="K84">
        <v>20220913</v>
      </c>
    </row>
    <row r="85" spans="1:11" x14ac:dyDescent="0.3">
      <c r="A85">
        <f t="shared" si="1"/>
        <v>84</v>
      </c>
      <c r="B85" t="s">
        <v>94</v>
      </c>
      <c r="C85">
        <v>1</v>
      </c>
      <c r="D85">
        <v>3</v>
      </c>
      <c r="E85">
        <v>66</v>
      </c>
      <c r="F85">
        <v>60</v>
      </c>
      <c r="G85">
        <v>198</v>
      </c>
      <c r="H85">
        <v>141</v>
      </c>
      <c r="I85">
        <v>1014</v>
      </c>
      <c r="J85">
        <v>20250616</v>
      </c>
      <c r="K85">
        <v>20250614</v>
      </c>
    </row>
    <row r="86" spans="1:11" x14ac:dyDescent="0.3">
      <c r="A86">
        <f t="shared" si="1"/>
        <v>85</v>
      </c>
      <c r="B86" t="s">
        <v>98</v>
      </c>
      <c r="C86">
        <v>1</v>
      </c>
      <c r="D86">
        <v>2</v>
      </c>
      <c r="E86">
        <v>66</v>
      </c>
      <c r="F86">
        <v>54</v>
      </c>
      <c r="G86">
        <v>132</v>
      </c>
      <c r="H86">
        <v>141</v>
      </c>
      <c r="I86">
        <v>1002</v>
      </c>
      <c r="J86">
        <v>20220218</v>
      </c>
      <c r="K86">
        <v>20220215</v>
      </c>
    </row>
    <row r="87" spans="1:11" x14ac:dyDescent="0.3">
      <c r="A87">
        <f t="shared" si="1"/>
        <v>86</v>
      </c>
      <c r="B87" t="s">
        <v>100</v>
      </c>
      <c r="C87">
        <v>1</v>
      </c>
      <c r="D87">
        <v>3</v>
      </c>
      <c r="E87">
        <v>66</v>
      </c>
      <c r="F87">
        <v>59</v>
      </c>
      <c r="G87">
        <v>198</v>
      </c>
      <c r="H87">
        <v>141</v>
      </c>
      <c r="I87">
        <v>1014</v>
      </c>
      <c r="J87">
        <v>20250616</v>
      </c>
      <c r="K87">
        <v>20250614</v>
      </c>
    </row>
    <row r="88" spans="1:11" x14ac:dyDescent="0.3">
      <c r="A88">
        <f t="shared" si="1"/>
        <v>87</v>
      </c>
      <c r="B88" t="s">
        <v>115</v>
      </c>
      <c r="C88">
        <v>1</v>
      </c>
      <c r="D88">
        <v>1</v>
      </c>
      <c r="E88">
        <v>66</v>
      </c>
      <c r="F88">
        <v>52</v>
      </c>
      <c r="G88">
        <v>66</v>
      </c>
      <c r="H88">
        <v>141</v>
      </c>
      <c r="I88">
        <v>1007</v>
      </c>
      <c r="J88">
        <v>20221214</v>
      </c>
      <c r="K88">
        <v>20221212</v>
      </c>
    </row>
    <row r="89" spans="1:11" x14ac:dyDescent="0.3">
      <c r="A89">
        <f t="shared" si="1"/>
        <v>88</v>
      </c>
      <c r="B89" t="s">
        <v>118</v>
      </c>
      <c r="C89">
        <v>1</v>
      </c>
      <c r="D89">
        <v>3</v>
      </c>
      <c r="E89">
        <v>66</v>
      </c>
      <c r="F89">
        <v>54</v>
      </c>
      <c r="G89">
        <v>198</v>
      </c>
      <c r="H89">
        <v>141</v>
      </c>
      <c r="I89">
        <v>1016</v>
      </c>
      <c r="J89">
        <v>20241019</v>
      </c>
      <c r="K89">
        <v>20241017</v>
      </c>
    </row>
    <row r="90" spans="1:11" x14ac:dyDescent="0.3">
      <c r="A90">
        <f t="shared" si="1"/>
        <v>89</v>
      </c>
      <c r="B90" t="s">
        <v>136</v>
      </c>
      <c r="C90">
        <v>1</v>
      </c>
      <c r="D90">
        <v>5</v>
      </c>
      <c r="E90">
        <v>66</v>
      </c>
      <c r="F90">
        <v>56</v>
      </c>
      <c r="G90">
        <v>330</v>
      </c>
      <c r="H90">
        <v>141</v>
      </c>
      <c r="I90">
        <v>1010</v>
      </c>
      <c r="J90">
        <v>20251213</v>
      </c>
      <c r="K90">
        <v>20251211</v>
      </c>
    </row>
    <row r="91" spans="1:11" x14ac:dyDescent="0.3">
      <c r="A91">
        <f t="shared" si="1"/>
        <v>90</v>
      </c>
      <c r="B91" t="s">
        <v>160</v>
      </c>
      <c r="C91">
        <v>1</v>
      </c>
      <c r="D91">
        <v>3</v>
      </c>
      <c r="E91">
        <v>66</v>
      </c>
      <c r="F91">
        <v>55</v>
      </c>
      <c r="G91">
        <v>198</v>
      </c>
      <c r="H91">
        <v>141</v>
      </c>
      <c r="I91">
        <v>1010</v>
      </c>
      <c r="J91">
        <v>20220417</v>
      </c>
      <c r="K91">
        <v>20220416</v>
      </c>
    </row>
    <row r="92" spans="1:11" x14ac:dyDescent="0.3">
      <c r="A92">
        <f t="shared" si="1"/>
        <v>91</v>
      </c>
      <c r="B92" t="s">
        <v>41</v>
      </c>
      <c r="C92">
        <v>1</v>
      </c>
      <c r="D92">
        <v>3</v>
      </c>
      <c r="E92">
        <v>259</v>
      </c>
      <c r="F92">
        <v>251</v>
      </c>
      <c r="G92">
        <v>777</v>
      </c>
      <c r="H92">
        <v>144</v>
      </c>
      <c r="I92">
        <v>1010</v>
      </c>
      <c r="J92">
        <v>20221001</v>
      </c>
      <c r="K92">
        <v>20220928</v>
      </c>
    </row>
    <row r="93" spans="1:11" x14ac:dyDescent="0.3">
      <c r="A93">
        <f t="shared" si="1"/>
        <v>92</v>
      </c>
      <c r="B93" t="s">
        <v>79</v>
      </c>
      <c r="C93">
        <v>1</v>
      </c>
      <c r="D93">
        <v>1</v>
      </c>
      <c r="E93">
        <v>259</v>
      </c>
      <c r="F93">
        <v>253</v>
      </c>
      <c r="G93">
        <v>259</v>
      </c>
      <c r="H93">
        <v>144</v>
      </c>
      <c r="I93">
        <v>1030</v>
      </c>
      <c r="J93">
        <v>20240307</v>
      </c>
      <c r="K93">
        <v>20240306</v>
      </c>
    </row>
    <row r="94" spans="1:11" x14ac:dyDescent="0.3">
      <c r="A94">
        <f t="shared" si="1"/>
        <v>93</v>
      </c>
      <c r="B94" t="s">
        <v>85</v>
      </c>
      <c r="C94">
        <v>1</v>
      </c>
      <c r="D94">
        <v>1</v>
      </c>
      <c r="E94">
        <v>259</v>
      </c>
      <c r="F94">
        <v>244</v>
      </c>
      <c r="G94">
        <v>259</v>
      </c>
      <c r="H94">
        <v>144</v>
      </c>
      <c r="I94">
        <v>1010</v>
      </c>
      <c r="J94">
        <v>20220518</v>
      </c>
      <c r="K94">
        <v>20220516</v>
      </c>
    </row>
    <row r="95" spans="1:11" x14ac:dyDescent="0.3">
      <c r="A95">
        <f t="shared" si="1"/>
        <v>94</v>
      </c>
      <c r="B95" t="s">
        <v>95</v>
      </c>
      <c r="C95">
        <v>1</v>
      </c>
      <c r="D95">
        <v>3</v>
      </c>
      <c r="E95">
        <v>259</v>
      </c>
      <c r="F95">
        <v>250</v>
      </c>
      <c r="G95">
        <v>777</v>
      </c>
      <c r="H95">
        <v>144</v>
      </c>
      <c r="I95">
        <v>1043</v>
      </c>
      <c r="J95">
        <v>20240107</v>
      </c>
      <c r="K95">
        <v>20240106</v>
      </c>
    </row>
    <row r="96" spans="1:11" x14ac:dyDescent="0.3">
      <c r="A96">
        <f t="shared" si="1"/>
        <v>95</v>
      </c>
      <c r="B96" t="s">
        <v>97</v>
      </c>
      <c r="C96">
        <v>1</v>
      </c>
      <c r="D96">
        <v>1</v>
      </c>
      <c r="E96">
        <v>259</v>
      </c>
      <c r="F96">
        <v>245</v>
      </c>
      <c r="G96">
        <v>259</v>
      </c>
      <c r="H96">
        <v>144</v>
      </c>
      <c r="I96">
        <v>1022</v>
      </c>
      <c r="J96">
        <v>20220603</v>
      </c>
      <c r="K96">
        <v>20220531</v>
      </c>
    </row>
    <row r="97" spans="1:11" x14ac:dyDescent="0.3">
      <c r="A97">
        <f t="shared" si="1"/>
        <v>96</v>
      </c>
      <c r="B97" t="s">
        <v>103</v>
      </c>
      <c r="C97">
        <v>1</v>
      </c>
      <c r="D97">
        <v>4</v>
      </c>
      <c r="E97">
        <v>259</v>
      </c>
      <c r="F97">
        <v>245</v>
      </c>
      <c r="G97">
        <v>1036</v>
      </c>
      <c r="H97">
        <v>144</v>
      </c>
      <c r="I97">
        <v>1018</v>
      </c>
      <c r="J97">
        <v>20250302</v>
      </c>
      <c r="K97">
        <v>20250301</v>
      </c>
    </row>
    <row r="98" spans="1:11" x14ac:dyDescent="0.3">
      <c r="A98">
        <f t="shared" si="1"/>
        <v>97</v>
      </c>
      <c r="B98" t="s">
        <v>137</v>
      </c>
      <c r="C98">
        <v>1</v>
      </c>
      <c r="D98">
        <v>3</v>
      </c>
      <c r="E98">
        <v>259</v>
      </c>
      <c r="F98">
        <v>244</v>
      </c>
      <c r="G98">
        <v>777</v>
      </c>
      <c r="H98">
        <v>144</v>
      </c>
      <c r="I98">
        <v>1049</v>
      </c>
      <c r="J98">
        <v>20240408</v>
      </c>
      <c r="K98">
        <v>20240405</v>
      </c>
    </row>
    <row r="99" spans="1:11" x14ac:dyDescent="0.3">
      <c r="A99">
        <f t="shared" si="1"/>
        <v>98</v>
      </c>
      <c r="B99" t="s">
        <v>145</v>
      </c>
      <c r="C99">
        <v>1</v>
      </c>
      <c r="D99">
        <v>4</v>
      </c>
      <c r="E99">
        <v>259</v>
      </c>
      <c r="F99">
        <v>244</v>
      </c>
      <c r="G99">
        <v>1036</v>
      </c>
      <c r="H99">
        <v>144</v>
      </c>
      <c r="I99">
        <v>1043</v>
      </c>
      <c r="J99">
        <v>20220618</v>
      </c>
      <c r="K99">
        <v>20220615</v>
      </c>
    </row>
    <row r="100" spans="1:11" x14ac:dyDescent="0.3">
      <c r="A100">
        <f t="shared" si="1"/>
        <v>99</v>
      </c>
      <c r="B100" t="s">
        <v>146</v>
      </c>
      <c r="C100">
        <v>1</v>
      </c>
      <c r="D100">
        <v>3</v>
      </c>
      <c r="E100">
        <v>259</v>
      </c>
      <c r="F100">
        <v>246</v>
      </c>
      <c r="G100">
        <v>777</v>
      </c>
      <c r="H100">
        <v>144</v>
      </c>
      <c r="I100">
        <v>1010</v>
      </c>
      <c r="J100">
        <v>20220303</v>
      </c>
      <c r="K100">
        <v>20220302</v>
      </c>
    </row>
    <row r="101" spans="1:11" x14ac:dyDescent="0.3">
      <c r="A101">
        <f t="shared" si="1"/>
        <v>100</v>
      </c>
      <c r="B101" t="s">
        <v>161</v>
      </c>
      <c r="C101">
        <v>1</v>
      </c>
      <c r="D101">
        <v>3</v>
      </c>
      <c r="E101">
        <v>259</v>
      </c>
      <c r="F101">
        <v>248</v>
      </c>
      <c r="G101">
        <v>777</v>
      </c>
      <c r="H101">
        <v>144</v>
      </c>
      <c r="I101">
        <v>1043</v>
      </c>
      <c r="J101">
        <v>20240122</v>
      </c>
      <c r="K101">
        <v>20240121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7651E1E6-A1D9-4064-8262-8E45E630E9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2FBCE81-038B-4205-A8A7-258135FFB8AA}">
  <ds:schemaRefs/>
</ds:datastoreItem>
</file>

<file path=customXml/itemProps3.xml><?xml version="1.0" encoding="utf-8"?>
<ds:datastoreItem xmlns:ds="http://schemas.openxmlformats.org/officeDocument/2006/customXml" ds:itemID="{D97EA2E0-E16C-4A5F-8E54-3B4F61026C93}">
  <ds:schemaRefs/>
</ds:datastoreItem>
</file>

<file path=customXml/itemProps4.xml><?xml version="1.0" encoding="utf-8"?>
<ds:datastoreItem xmlns:ds="http://schemas.openxmlformats.org/officeDocument/2006/customXml" ds:itemID="{9568240F-E0B7-4C06-98BD-46B1296B384D}">
  <ds:schemaRefs/>
</ds:datastoreItem>
</file>

<file path=customXml/itemProps5.xml><?xml version="1.0" encoding="utf-8"?>
<ds:datastoreItem xmlns:ds="http://schemas.openxmlformats.org/officeDocument/2006/customXml" ds:itemID="{7CEA429E-A586-458F-A486-7E7CF2C881B2}">
  <ds:schemaRefs/>
</ds:datastoreItem>
</file>

<file path=customXml/itemProps6.xml><?xml version="1.0" encoding="utf-8"?>
<ds:datastoreItem xmlns:ds="http://schemas.openxmlformats.org/officeDocument/2006/customXml" ds:itemID="{D0B77B3D-47DB-43EC-A418-F14CE429D088}">
  <ds:schemaRefs/>
</ds:datastoreItem>
</file>

<file path=customXml/itemProps7.xml><?xml version="1.0" encoding="utf-8"?>
<ds:datastoreItem xmlns:ds="http://schemas.openxmlformats.org/officeDocument/2006/customXml" ds:itemID="{2C6EEAB6-298F-454A-B424-E13A5467E2E8}">
  <ds:schemaRefs/>
</ds:datastoreItem>
</file>

<file path=customXml/itemProps8.xml><?xml version="1.0" encoding="utf-8"?>
<ds:datastoreItem xmlns:ds="http://schemas.openxmlformats.org/officeDocument/2006/customXml" ds:itemID="{ECEEBCD7-F25D-4481-A07F-8F9AD05A579D}">
  <ds:schemaRefs/>
</ds:datastoreItem>
</file>

<file path=customXml/itemProps9.xml><?xml version="1.0" encoding="utf-8"?>
<ds:datastoreItem xmlns:ds="http://schemas.openxmlformats.org/officeDocument/2006/customXml" ds:itemID="{73DE0D4C-F884-40AB-8F56-8D5E431A8620}">
  <ds:schemaRefs/>
</ds:datastoreItem>
</file>

<file path=customXml/itemProps10.xml><?xml version="1.0" encoding="utf-8"?>
<ds:datastoreItem xmlns:ds="http://schemas.openxmlformats.org/officeDocument/2006/customXml" ds:itemID="{929D9523-4BB0-47E8-BDC2-33772079C273}">
  <ds:schemaRefs/>
</ds:datastoreItem>
</file>

<file path=customXml/itemProps11.xml><?xml version="1.0" encoding="utf-8"?>
<ds:datastoreItem xmlns:ds="http://schemas.openxmlformats.org/officeDocument/2006/customXml" ds:itemID="{27A9DBB3-8AA7-4A85-891F-E72D2EFDC953}">
  <ds:schemaRefs/>
</ds:datastoreItem>
</file>

<file path=customXml/itemProps12.xml><?xml version="1.0" encoding="utf-8"?>
<ds:datastoreItem xmlns:ds="http://schemas.openxmlformats.org/officeDocument/2006/customXml" ds:itemID="{338E2DE1-4425-4D3D-A082-41411BF4E8E8}">
  <ds:schemaRefs/>
</ds:datastoreItem>
</file>

<file path=customXml/itemProps13.xml><?xml version="1.0" encoding="utf-8"?>
<ds:datastoreItem xmlns:ds="http://schemas.openxmlformats.org/officeDocument/2006/customXml" ds:itemID="{8B8791CD-9979-4E58-A77D-AAC681BDAD88}">
  <ds:schemaRefs/>
</ds:datastoreItem>
</file>

<file path=customXml/itemProps14.xml><?xml version="1.0" encoding="utf-8"?>
<ds:datastoreItem xmlns:ds="http://schemas.openxmlformats.org/officeDocument/2006/customXml" ds:itemID="{F06FB0C0-537F-4177-B0F8-28845B4E7E41}">
  <ds:schemaRefs/>
</ds:datastoreItem>
</file>

<file path=customXml/itemProps15.xml><?xml version="1.0" encoding="utf-8"?>
<ds:datastoreItem xmlns:ds="http://schemas.openxmlformats.org/officeDocument/2006/customXml" ds:itemID="{6434142B-7CCC-417A-90B8-E71E0F44E13F}">
  <ds:schemaRefs/>
</ds:datastoreItem>
</file>

<file path=customXml/itemProps16.xml><?xml version="1.0" encoding="utf-8"?>
<ds:datastoreItem xmlns:ds="http://schemas.openxmlformats.org/officeDocument/2006/customXml" ds:itemID="{620D732B-3610-47ED-B957-89AAD532333E}">
  <ds:schemaRefs/>
</ds:datastoreItem>
</file>

<file path=customXml/itemProps17.xml><?xml version="1.0" encoding="utf-8"?>
<ds:datastoreItem xmlns:ds="http://schemas.openxmlformats.org/officeDocument/2006/customXml" ds:itemID="{509BCC03-6632-407E-9DF2-891AB06D1D2E}">
  <ds:schemaRefs/>
</ds:datastoreItem>
</file>

<file path=customXml/itemProps18.xml><?xml version="1.0" encoding="utf-8"?>
<ds:datastoreItem xmlns:ds="http://schemas.openxmlformats.org/officeDocument/2006/customXml" ds:itemID="{162DB828-62C5-44D7-A31A-835CD50D9219}">
  <ds:schemaRefs/>
</ds:datastoreItem>
</file>

<file path=customXml/itemProps19.xml><?xml version="1.0" encoding="utf-8"?>
<ds:datastoreItem xmlns:ds="http://schemas.openxmlformats.org/officeDocument/2006/customXml" ds:itemID="{D61B2CC7-48BE-4996-92AB-DC0DD678558C}">
  <ds:schemaRefs/>
</ds:datastoreItem>
</file>

<file path=customXml/itemProps20.xml><?xml version="1.0" encoding="utf-8"?>
<ds:datastoreItem xmlns:ds="http://schemas.openxmlformats.org/officeDocument/2006/customXml" ds:itemID="{42350624-C2B5-4BC6-9C7E-BAC3AF046F58}">
  <ds:schemaRefs/>
</ds:datastoreItem>
</file>

<file path=customXml/itemProps21.xml><?xml version="1.0" encoding="utf-8"?>
<ds:datastoreItem xmlns:ds="http://schemas.openxmlformats.org/officeDocument/2006/customXml" ds:itemID="{1481ABC7-A497-474E-AF8D-B69509D24E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Tabla_Desnormalizada_Ventas</vt:lpstr>
      <vt:lpstr>dim_product</vt:lpstr>
      <vt:lpstr>dim_customer</vt:lpstr>
      <vt:lpstr>dim_order_date</vt:lpstr>
      <vt:lpstr>dim_ship_date</vt:lpstr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ANAHI PALLO REYES</dc:creator>
  <cp:lastModifiedBy>ANDREINA ANAHI PALLO REYES</cp:lastModifiedBy>
  <dcterms:created xsi:type="dcterms:W3CDTF">2026-05-05T06:32:03Z</dcterms:created>
  <dcterms:modified xsi:type="dcterms:W3CDTF">2026-05-05T17:56:19Z</dcterms:modified>
</cp:coreProperties>
</file>